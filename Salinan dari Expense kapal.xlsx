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enrickowen/Downloads/"/>
    </mc:Choice>
  </mc:AlternateContent>
  <xr:revisionPtr revIDLastSave="0" documentId="13_ncr:1_{51503E7E-BB8F-9449-A8A9-0660B2AE6AEF}" xr6:coauthVersionLast="47" xr6:coauthVersionMax="47" xr10:uidLastSave="{00000000-0000-0000-0000-000000000000}"/>
  <bookViews>
    <workbookView xWindow="0" yWindow="500" windowWidth="35840" windowHeight="20420" activeTab="1" xr2:uid="{00000000-000D-0000-FFFF-FFFF00000000}"/>
  </bookViews>
  <sheets>
    <sheet name="Voyage 1 Pengerang -&gt; Uban -&gt; T" sheetId="1" r:id="rId1"/>
    <sheet name="Voyage 2 Singapore -&gt; Uban -&gt; T" sheetId="2" r:id="rId2"/>
    <sheet name="Voyage 3 Vopak Singapore -&gt; Bau" sheetId="3" r:id="rId3"/>
    <sheet name="Voyage 4 Pengerang -&gt; Baubau -&gt;" sheetId="4" r:id="rId4"/>
    <sheet name="Ringkasan Per Voyage" sheetId="5" r:id="rId5"/>
    <sheet name="Voyage 5 Tg. Langsat -&gt; Tg. Pri" sheetId="6" r:id="rId6"/>
    <sheet name="Voyage 6 Singapore -&gt; Kotabaru" sheetId="7" r:id="rId7"/>
    <sheet name="Sheet1 (1)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2" l="1"/>
  <c r="K27" i="5" s="1"/>
  <c r="N10" i="6"/>
  <c r="M10" i="6"/>
  <c r="L10" i="6"/>
  <c r="L8" i="6"/>
  <c r="L7" i="6"/>
  <c r="N5" i="6"/>
  <c r="L4" i="6"/>
  <c r="H27" i="5"/>
  <c r="J26" i="5"/>
  <c r="H26" i="5"/>
  <c r="H25" i="5"/>
  <c r="J23" i="5"/>
  <c r="H23" i="5"/>
  <c r="H22" i="5"/>
  <c r="A22" i="5"/>
  <c r="H21" i="5"/>
  <c r="A21" i="5"/>
  <c r="H20" i="5"/>
  <c r="A20" i="5"/>
  <c r="H19" i="5"/>
  <c r="A19" i="5"/>
  <c r="H18" i="5"/>
  <c r="A18" i="5"/>
  <c r="H17" i="5"/>
  <c r="X15" i="5"/>
  <c r="H16" i="5"/>
  <c r="A16" i="5"/>
  <c r="Z14" i="5"/>
  <c r="X14" i="5"/>
  <c r="A15" i="5"/>
  <c r="P13" i="5"/>
  <c r="H14" i="5"/>
  <c r="A14" i="5"/>
  <c r="X12" i="5"/>
  <c r="P12" i="5"/>
  <c r="H13" i="5"/>
  <c r="Z11" i="5"/>
  <c r="X11" i="5"/>
  <c r="H12" i="5"/>
  <c r="A12" i="5"/>
  <c r="P11" i="5"/>
  <c r="H11" i="5"/>
  <c r="A11" i="5"/>
  <c r="Z9" i="5"/>
  <c r="X9" i="5"/>
  <c r="P9" i="5"/>
  <c r="H10" i="5"/>
  <c r="A10" i="5"/>
  <c r="X8" i="5"/>
  <c r="P8" i="5"/>
  <c r="H9" i="5"/>
  <c r="A9" i="5"/>
  <c r="Z7" i="5"/>
  <c r="S7" i="5"/>
  <c r="R7" i="5"/>
  <c r="H8" i="5"/>
  <c r="A8" i="5"/>
  <c r="K7" i="5"/>
  <c r="J7" i="5"/>
  <c r="D7" i="5"/>
  <c r="C7" i="5"/>
  <c r="A6" i="5"/>
  <c r="Z4" i="5"/>
  <c r="X4" i="5"/>
  <c r="R4" i="5"/>
  <c r="P4" i="5"/>
  <c r="J4" i="5"/>
  <c r="H4" i="5"/>
  <c r="Z3" i="5"/>
  <c r="X3" i="5"/>
  <c r="R3" i="5"/>
  <c r="P3" i="5"/>
  <c r="J3" i="5"/>
  <c r="H3" i="5"/>
  <c r="X1" i="5"/>
  <c r="P1" i="5"/>
  <c r="H1" i="5"/>
  <c r="K8" i="4"/>
  <c r="Z15" i="5" s="1"/>
  <c r="K6" i="4"/>
  <c r="Z12" i="5" s="1"/>
  <c r="K4" i="4"/>
  <c r="J7" i="3"/>
  <c r="R13" i="5" s="1"/>
  <c r="K6" i="3"/>
  <c r="S12" i="5" s="1"/>
  <c r="J4" i="3"/>
  <c r="R9" i="5" s="1"/>
  <c r="R29" i="5" s="1"/>
  <c r="K16" i="2"/>
  <c r="J22" i="5" s="1"/>
  <c r="K15" i="2"/>
  <c r="J21" i="5" s="1"/>
  <c r="K14" i="2"/>
  <c r="J20" i="5" s="1"/>
  <c r="K13" i="2"/>
  <c r="J19" i="5" s="1"/>
  <c r="K12" i="2"/>
  <c r="J18" i="5" s="1"/>
  <c r="K11" i="2"/>
  <c r="J17" i="5" s="1"/>
  <c r="K9" i="2"/>
  <c r="J14" i="5" s="1"/>
  <c r="K8" i="2"/>
  <c r="J13" i="5" s="1"/>
  <c r="K7" i="2"/>
  <c r="J12" i="5" s="1"/>
  <c r="K6" i="2"/>
  <c r="J11" i="5" s="1"/>
  <c r="K5" i="2"/>
  <c r="J10" i="5" s="1"/>
  <c r="K4" i="2"/>
  <c r="J9" i="5" s="1"/>
  <c r="K17" i="1"/>
  <c r="C22" i="5" s="1"/>
  <c r="K16" i="1"/>
  <c r="C21" i="5" s="1"/>
  <c r="K15" i="1"/>
  <c r="C20" i="5" s="1"/>
  <c r="L14" i="1"/>
  <c r="D19" i="5" s="1"/>
  <c r="K11" i="1"/>
  <c r="C16" i="5" s="1"/>
  <c r="L10" i="1"/>
  <c r="D15" i="5" s="1"/>
  <c r="K7" i="1"/>
  <c r="C12" i="5" s="1"/>
  <c r="K6" i="1"/>
  <c r="C11" i="5" s="1"/>
  <c r="K5" i="1"/>
  <c r="C10" i="5" s="1"/>
  <c r="K4" i="1"/>
  <c r="C9" i="5" s="1"/>
  <c r="K29" i="5" l="1"/>
  <c r="J29" i="5"/>
  <c r="Z29" i="5"/>
  <c r="C29" i="5"/>
  <c r="D29" i="5"/>
  <c r="S29" i="5"/>
</calcChain>
</file>

<file path=xl/sharedStrings.xml><?xml version="1.0" encoding="utf-8"?>
<sst xmlns="http://schemas.openxmlformats.org/spreadsheetml/2006/main" count="768" uniqueCount="297">
  <si>
    <t>Voyage 1</t>
  </si>
  <si>
    <t>Ringkasan Expense OPEX</t>
  </si>
  <si>
    <t>IDR</t>
  </si>
  <si>
    <t>USD</t>
  </si>
  <si>
    <t>Route:</t>
  </si>
  <si>
    <t>Malaysia Loading -&gt; Indonesia Discharging -&gt; Singapore Bunkering</t>
  </si>
  <si>
    <t>Pre Voyage &amp; Initial Loading</t>
  </si>
  <si>
    <t>Duration:</t>
  </si>
  <si>
    <t>July 25 – Aug 26 (32 Days)</t>
  </si>
  <si>
    <t>Legalitas &amp; Survey</t>
  </si>
  <si>
    <t>Repairs (Perbaikan)</t>
  </si>
  <si>
    <t>Date</t>
  </si>
  <si>
    <t>Time</t>
  </si>
  <si>
    <t>Activity</t>
  </si>
  <si>
    <t>Location</t>
  </si>
  <si>
    <t>Status</t>
  </si>
  <si>
    <t>Safety &amp; Deck</t>
  </si>
  <si>
    <t>Arrive</t>
  </si>
  <si>
    <t>Pengerang</t>
  </si>
  <si>
    <t>Loading</t>
  </si>
  <si>
    <t>IT &amp; Navigasi</t>
  </si>
  <si>
    <t>Aug 12</t>
  </si>
  <si>
    <t>Depart</t>
  </si>
  <si>
    <t>Tg. Uban</t>
  </si>
  <si>
    <t>Discharging</t>
  </si>
  <si>
    <t>Logistik Awal (Initial Supply)</t>
  </si>
  <si>
    <t>Aug 15</t>
  </si>
  <si>
    <t>Bunker (BBM)</t>
  </si>
  <si>
    <t>Aug 17</t>
  </si>
  <si>
    <t>Tg. Priok</t>
  </si>
  <si>
    <t>Provision (Makanan)</t>
  </si>
  <si>
    <t>Aug 20</t>
  </si>
  <si>
    <t>Aug 22</t>
  </si>
  <si>
    <t>Singapore</t>
  </si>
  <si>
    <t>Bunkering</t>
  </si>
  <si>
    <t>Operasional Akhir Voyage (Singapore Call &amp; Late Aug)</t>
  </si>
  <si>
    <t>Aug 26</t>
  </si>
  <si>
    <t>Singapore to EOPL</t>
  </si>
  <si>
    <t>Idle</t>
  </si>
  <si>
    <t>Navigasi &amp; Service</t>
  </si>
  <si>
    <t>Logistik &amp; Transport</t>
  </si>
  <si>
    <t>Crew Welfare</t>
  </si>
  <si>
    <t>OPEX</t>
  </si>
  <si>
    <t>Komunikasi</t>
  </si>
  <si>
    <t>Kategori</t>
  </si>
  <si>
    <t>No. PO</t>
  </si>
  <si>
    <t>Vendor</t>
  </si>
  <si>
    <t>Tanggal</t>
  </si>
  <si>
    <t>Deskripsi Barang/Jasa</t>
  </si>
  <si>
    <t>Urgensi</t>
  </si>
  <si>
    <t>Biaya (Grand Total) IDR</t>
  </si>
  <si>
    <t>Biaya (Grand Total) USD</t>
  </si>
  <si>
    <t>BKI</t>
  </si>
  <si>
    <t>Tank Calibration (Cargo, Slop, FO Tank)</t>
  </si>
  <si>
    <t>KRITIKAL</t>
  </si>
  <si>
    <t>Nereus Subsea</t>
  </si>
  <si>
    <t>Underwater Hull Cleaning &amp; CCTV Survey</t>
  </si>
  <si>
    <t>TINGGI</t>
  </si>
  <si>
    <t>Pertamina Marine</t>
  </si>
  <si>
    <t>SIRE 2.0 Inspection Fee</t>
  </si>
  <si>
    <t>EDII (Pelindo)</t>
  </si>
  <si>
    <t>LRIT Conformance Test</t>
  </si>
  <si>
    <t>WAJIB</t>
  </si>
  <si>
    <t>LRIT Activation (Indonesia NDC)</t>
  </si>
  <si>
    <t>xxx/SMP/SMUTransliner/VII/2025</t>
  </si>
  <si>
    <t>PT Global Lautan Biru</t>
  </si>
  <si>
    <t>Log Books Indonesia. Supply buku jurnal kapal (Deck/Engine/Oil Record) yang sudah disahkan Syahbandar.</t>
  </si>
  <si>
    <t>Wajib</t>
  </si>
  <si>
    <t>Belgi Eng.</t>
  </si>
  <si>
    <t>Repair Anchor Gypsy (Mesin Jangkar)</t>
  </si>
  <si>
    <t>Repair Pipa Kargo &amp; Heating Line</t>
  </si>
  <si>
    <t>Fazri Multi</t>
  </si>
  <si>
    <t>Repair Lifeboat Crane &amp; Davit</t>
  </si>
  <si>
    <t>SAFETY</t>
  </si>
  <si>
    <t>Repair Windlass (STBD)</t>
  </si>
  <si>
    <t>Supply Material Pipa</t>
  </si>
  <si>
    <t>Cleaning Engine Room (SIRE Prep)</t>
  </si>
  <si>
    <t>SSM</t>
  </si>
  <si>
    <t>Repair N2 Compressor</t>
  </si>
  <si>
    <t>OPS</t>
  </si>
  <si>
    <t>ITN</t>
  </si>
  <si>
    <t>Vetting Equipment (UTI Tape, Gas Det)</t>
  </si>
  <si>
    <t>Second UTI Meter (Cadangan)</t>
  </si>
  <si>
    <t>Jaya Samudera</t>
  </si>
  <si>
    <t>Annual Inspection LSA/FFA (Pemadam)</t>
  </si>
  <si>
    <t>Explora</t>
  </si>
  <si>
    <t>Service &amp; Kalibrasi Gas Detector</t>
  </si>
  <si>
    <t>SOPEP Equipment (Oil Spill Kit)</t>
  </si>
  <si>
    <t>Gangway Net (Jaring Tangga)</t>
  </si>
  <si>
    <t>Jason Elek.</t>
  </si>
  <si>
    <t>Gyro Compass Annual Service</t>
  </si>
  <si>
    <t>Geo Tekno</t>
  </si>
  <si>
    <t>CCTV Hardware (Camera/NVR)</t>
  </si>
  <si>
    <t>Instalasi CCTV &amp; Kabel</t>
  </si>
  <si>
    <t>IT Network (Wifi/Hub/Switch)</t>
  </si>
  <si>
    <t>SUPPORT</t>
  </si>
  <si>
    <t>xxx/LUL/PO/VIII/2025</t>
  </si>
  <si>
    <t>StormGeo Ltd</t>
  </si>
  <si>
    <t>13 Aug</t>
  </si>
  <si>
    <t>S-Planner Subscription. Langganan software navigasi &amp; cuaca tahunan (12 Bulan).</t>
  </si>
  <si>
    <t>Ship Mobile Phone (Samsung)</t>
  </si>
  <si>
    <t>Suvarna Energia</t>
  </si>
  <si>
    <t>LSFO 250 MT + LSMGO 60 MT. Pengisian awal bahan bakar utama (Low Sulphur Fuel Oil) dan Solar (MGO) untuk operasional mesin induk &amp; generator.</t>
  </si>
  <si>
    <t>LSMGO 60 MT. Top-up solar tambahan sehari sebelum kapal berangkat ke Pengerang.</t>
  </si>
  <si>
    <t>026-NT</t>
  </si>
  <si>
    <t>Surya Buana (SBL)</t>
  </si>
  <si>
    <t>Foodstuff (Non-Tax). Stok bahan makanan pokok (Beras, Daging, Sayur) untuk kebutuhan kru selama 2 bulan (Juli-Sept).</t>
  </si>
  <si>
    <t>026-T</t>
  </si>
  <si>
    <t>Foodstuff (Tax). Makanan/minuman kemasan kena pajak (Snack, Bumbu, dll).</t>
  </si>
  <si>
    <t>024-NT</t>
  </si>
  <si>
    <t>Bonded Store. Rokok (50 Slop Manchester, 50 Slop Rave Green) untuk kru.</t>
  </si>
  <si>
    <t>WELFARE</t>
  </si>
  <si>
    <t>024-T</t>
  </si>
  <si>
    <t>Bonded Store (Minuman). Softdrink (Cola, Lemon Tea) &amp; Air Mineral botol.</t>
  </si>
  <si>
    <t>Sewa Boat Supply. Biaya kapal kecil untuk mengantar logistik makanan ke kapal di tengah laut.</t>
  </si>
  <si>
    <t>Sewa Boat Bonded. Biaya kapal kecil untuk mengantar rokok/minuman.</t>
  </si>
  <si>
    <t>Fresh Water</t>
  </si>
  <si>
    <t>Palugada Marine</t>
  </si>
  <si>
    <t>Fresh Water 140 - 150 Ton. Pengisian air tawar untuk mandi/cuci/masak sebelum berlayar jauh.</t>
  </si>
  <si>
    <t>22 Agt</t>
  </si>
  <si>
    <t>Bunker (VLSFO 200 MT + MGO 40 MT). Pengisian BBM di Singapura setelah perjalanan panjang (Voyage 1).</t>
  </si>
  <si>
    <t>Radio Holland</t>
  </si>
  <si>
    <t>Gyro Compass Service. Perbaikan error pada kompas gyro dan penggantian brush saat kapal sandar di Singapura.</t>
  </si>
  <si>
    <t>Sinergy Global Logistics</t>
  </si>
  <si>
    <t>25 Agt</t>
  </si>
  <si>
    <t>Delivery Batam-Jakarta. Biaya pengiriman spare parts &amp; logistik (1.7 Ton) dari Batam ke Jakarta (ETA 12 Sept).</t>
  </si>
  <si>
    <t>Milanisti Indonesia</t>
  </si>
  <si>
    <t>20 Agt</t>
  </si>
  <si>
    <t>Kaos Polo HUT RI (Size XL &amp; 2XL). Seragam kru edisi khusus kemerdekaan.</t>
  </si>
  <si>
    <t>Kaos Polo HUT RI (Tambahan). Seragam kru tambahan.</t>
  </si>
  <si>
    <t>Nusantara Jaya (Starlink)</t>
  </si>
  <si>
    <t>Paket Data Starlink (Agustus). Biaya internet kapal untuk periode Agustus 2025.</t>
  </si>
  <si>
    <t>Voyage 2</t>
  </si>
  <si>
    <t>Singapore Loading -&gt; Indonesia Discharging -&gt; Singapore Bunkering</t>
  </si>
  <si>
    <t>Persiapan (Idle di EOPL)</t>
  </si>
  <si>
    <t xml:space="preserve">Sep 05 – Sep 30 (25 Days) </t>
  </si>
  <si>
    <t>Admin &amp; Ops</t>
  </si>
  <si>
    <t>Note:</t>
  </si>
  <si>
    <t>Excludes 10 days idle time at EOPL prior to loading</t>
  </si>
  <si>
    <t>Navigasi</t>
  </si>
  <si>
    <t>Safety (LSA)</t>
  </si>
  <si>
    <t>EOPL</t>
  </si>
  <si>
    <t>Repair (Deck)</t>
  </si>
  <si>
    <t>Vopak Singapore</t>
  </si>
  <si>
    <t>Deck Store</t>
  </si>
  <si>
    <t>Operasional (Tg. Priok)</t>
  </si>
  <si>
    <t>Maintenance</t>
  </si>
  <si>
    <t>Safety (PPE)</t>
  </si>
  <si>
    <t>Admin</t>
  </si>
  <si>
    <t>Engine Service</t>
  </si>
  <si>
    <t>Logistik</t>
  </si>
  <si>
    <t>Engine Spare</t>
  </si>
  <si>
    <t>Belum ada total</t>
  </si>
  <si>
    <t>Akhir Voyage (Singapore)</t>
  </si>
  <si>
    <t>Running Store</t>
  </si>
  <si>
    <t>Bunker</t>
  </si>
  <si>
    <t>CV Samudera Sumber</t>
  </si>
  <si>
    <t>27 Agt</t>
  </si>
  <si>
    <t>Tinta Printer HP (Refill). Supply tinta Hitam, Kuning, Cyan, Magenta untuk administrasi kapal.</t>
  </si>
  <si>
    <t>Wheelhouse Poster. Poster panduan navigasi di anjungan (Appendix 2).</t>
  </si>
  <si>
    <t>PT Samudera Inovasi</t>
  </si>
  <si>
    <t>28 Agt</t>
  </si>
  <si>
    <t>Embarkation Ladder &amp; Rope. Tangga pandu/sekoci 12 Meter + Tali Nilon.</t>
  </si>
  <si>
    <t>Pyrotechnics &amp; Signs. Suar tangan (Red Hand Flare) dan stiker simbol keselamatan.</t>
  </si>
  <si>
    <t>CV Nusantara Jaya</t>
  </si>
  <si>
    <t>31 Agt</t>
  </si>
  <si>
    <t>Starlink Data Plan. Kuota internet kapal 50GB untuk periode September.</t>
  </si>
  <si>
    <t>CV Sumber Laut</t>
  </si>
  <si>
    <t>Copper Tube &amp; Plugs. Material pipa tembaga untuk perbaikan kondensor pendingin (Urgent).</t>
  </si>
  <si>
    <t>TEKNIS</t>
  </si>
  <si>
    <t>PT ITN</t>
  </si>
  <si>
    <t>Mooring Rope. 1 Roll Tali Tambat PP Multifilament (Cir 7).</t>
  </si>
  <si>
    <t>Filters (Fleetguard). Filter Oli, BBM, dan Udara untuk maintenance Aux Engine.</t>
  </si>
  <si>
    <t>RUTIN</t>
  </si>
  <si>
    <t>PT Sentral Anugrah</t>
  </si>
  <si>
    <t>Wearpack (Coverall). Seragam kerja tahan api (Fire Retardant) untuk kru.</t>
  </si>
  <si>
    <t>Flags &amp; Shapes. Bendera isyarat dan Bola Hitam (Black Ball).</t>
  </si>
  <si>
    <t>Log Books. Buku Jurnal Dek, Mesin, dan Oil Record Book.</t>
  </si>
  <si>
    <t>PT Altrak 1978</t>
  </si>
  <si>
    <t>Cummins Engine Inspection. Jasa teknisi inspeksi mesin bantu (KTA 19).</t>
  </si>
  <si>
    <t>Hapirudin</t>
  </si>
  <si>
    <t>Local Transport. Jasa kirim barang dari pangkalan boat Priok ke Bekasi.</t>
  </si>
  <si>
    <t>LOGISTIK</t>
  </si>
  <si>
    <t>048*</t>
  </si>
  <si>
    <t>Fresh Water (115 Ton). Pengisian air tawar saat sandar di Jakarta.</t>
  </si>
  <si>
    <t>Pilot Ladder (9 Meter). Tangga pandu operasional.</t>
  </si>
  <si>
    <t>CRUZ/E/026/2025</t>
  </si>
  <si>
    <t>Spare Part AE Overhaul. Gasket, Seal, Nozzle untuk overhaul mesin bantu (AE#3).</t>
  </si>
  <si>
    <t>Engine/Elec Stores. WD-40, Lem, Lampu, Peralatan tangan.</t>
  </si>
  <si>
    <t>KPI OceanConnect</t>
  </si>
  <si>
    <t>Bunker (VLSFO &amp; MGO). 180 MT VLSFO + 50 MT MGO.</t>
  </si>
  <si>
    <t>Voyage 3</t>
  </si>
  <si>
    <t>Singapore Loading -&gt; Sulawesi Discharging -&gt; Singapore Bunkering</t>
  </si>
  <si>
    <t>Operasional (Baubau)</t>
  </si>
  <si>
    <t>Sep 30 – Oct 30 (30 Days)</t>
  </si>
  <si>
    <t>Maintenance (Deck)</t>
  </si>
  <si>
    <t>Oct 10</t>
  </si>
  <si>
    <t>Oct 12</t>
  </si>
  <si>
    <t>Oct 18</t>
  </si>
  <si>
    <t>Baubau</t>
  </si>
  <si>
    <t>Oct 22</t>
  </si>
  <si>
    <t>Oct 28</t>
  </si>
  <si>
    <t>CV Sumber Laut Mandiri</t>
  </si>
  <si>
    <t>Fresh Water (via Jetty). Pengisian 80 Ton air tawar saat sandar di pelabuhan Baubau.</t>
  </si>
  <si>
    <t>Fresh Water (via Transfer Boat). Pengisian tambahan 44 Ton menggunakan kapal transfer (di tengah laut/anchorage).</t>
  </si>
  <si>
    <t>Bunker (VLSFO &amp; MGO). Supply BBM di Singapore: 180 MT VLSFO + 50 MT LSMGO.</t>
  </si>
  <si>
    <t>PT Multipro Paint</t>
  </si>
  <si>
    <t>Cat Kapal (Marine Paint). Supply cat Admicryl &amp; Alkyd Primer untuk perawatan karat di area dek.</t>
  </si>
  <si>
    <t>MAINTENANCE</t>
  </si>
  <si>
    <t>Voyage 4</t>
  </si>
  <si>
    <t>Malaysia Loading -&gt; Sulawesi &amp; East Java Discharging (Milk Run)</t>
  </si>
  <si>
    <t>Oct 30 – Nov 18 (19 Days)</t>
  </si>
  <si>
    <t>Operasional (Surabaya)</t>
  </si>
  <si>
    <t>Lube Oil</t>
  </si>
  <si>
    <t>Oct 30</t>
  </si>
  <si>
    <t>Shifting</t>
  </si>
  <si>
    <t>Surabaya</t>
  </si>
  <si>
    <t>Fresh Water (100 Ton). Pengisian air tawar di Pelabuhan Baubau.</t>
  </si>
  <si>
    <t>063*</t>
  </si>
  <si>
    <t>PT Nusantara Mining Supplies</t>
  </si>
  <si>
    <t>Lube Oil (Oli Mesin). Supply 35 Drum Unimar TBN 40, 15 Drum XD 9000, &amp; 8 Drum Hydraulic Oil.</t>
  </si>
  <si>
    <t>PT Surya Buana (SBL)</t>
  </si>
  <si>
    <t>Foodstuff Non-Tax. Stok bahan makanan pokok (Sayur, Daging, Beras) periode November.</t>
  </si>
  <si>
    <t>Foodstuff Tax. Makanan kemasan kena pajak (Snack, Bumbu, Susu).</t>
  </si>
  <si>
    <t>Transport Provision. Biaya pengiriman logistik makanan ke kapal.</t>
  </si>
  <si>
    <t>CRUZ/E/037/2025</t>
  </si>
  <si>
    <t>CV Langgeng Jaya Trans</t>
  </si>
  <si>
    <t>Trucking Jakarta - Surabaya. Pengiriman spare part (mungkin oli/cat) via darat untuk naik di Surabaya (ETA 12 Nov).</t>
  </si>
  <si>
    <t>Total</t>
  </si>
  <si>
    <t>Voyage 5</t>
  </si>
  <si>
    <t>Malaysia Loading -&gt; West Java Discharging -&gt; Singapore Bunkering</t>
  </si>
  <si>
    <t>Persiapan Tahun Baru (Navigasi)</t>
  </si>
  <si>
    <t>GBP</t>
  </si>
  <si>
    <t>Dec 02 – Dec 15 (13 Days)</t>
  </si>
  <si>
    <t>Publikasi</t>
  </si>
  <si>
    <t>Excludes 14 days idle time at Pengerang prior to shifting</t>
  </si>
  <si>
    <t>Publikasi (Digital)</t>
  </si>
  <si>
    <t>Dec 02</t>
  </si>
  <si>
    <t>Tg. Langsat</t>
  </si>
  <si>
    <t>Dec 05</t>
  </si>
  <si>
    <t>Dec 07</t>
  </si>
  <si>
    <t>Dec 11</t>
  </si>
  <si>
    <t>Dec 14</t>
  </si>
  <si>
    <t>Dec 15</t>
  </si>
  <si>
    <t>Singapore (Berth)</t>
  </si>
  <si>
    <t>Biaya (Grand Total) GBP</t>
  </si>
  <si>
    <t>Peta &amp; Buku Navigasi (Fisik). Supply Peta BA Chart (Singapore/Malacca Strait), STS Guide, ISGOTT edisi terbaru 2025/2026.</t>
  </si>
  <si>
    <t>WAJIB REGULASI</t>
  </si>
  <si>
    <t>StormGeo</t>
  </si>
  <si>
    <t>E-Books &amp; Software. Langganan digital List of Radio Signals, IMO Books, &amp; Cyber Security Workbook.</t>
  </si>
  <si>
    <t>070 R1</t>
  </si>
  <si>
    <t>Safety Equipment. Suar tangan (Red Hand Flare), Smoke Signal, dan Sabuk Pengaman Sekoci (Seat Belt 4 Point).</t>
  </si>
  <si>
    <t>061 R1</t>
  </si>
  <si>
    <t>PT Jotun Indonesia</t>
  </si>
  <si>
    <t>Cat Kapal (Marine Paint). Supply besar cat Hardtop XP, Pioner TC, Jotamastic, Alkydprimer untuk perawatan bodi kapal.</t>
  </si>
  <si>
    <t>Bunker (LSMGO 50 MT). Pengisian Solar (MGO) di Singapura.</t>
  </si>
  <si>
    <t>Voyage 6</t>
  </si>
  <si>
    <t>Singapore Loading -&gt; Kalimantan Discharging -&gt; Singapore Return</t>
  </si>
  <si>
    <t>Dec 15 – Jan 04 (20 Days)</t>
  </si>
  <si>
    <t>Dec 18</t>
  </si>
  <si>
    <t>Dec 22</t>
  </si>
  <si>
    <t>Kotabaru</t>
  </si>
  <si>
    <t>Dec 27</t>
  </si>
  <si>
    <t>Dec 31</t>
  </si>
  <si>
    <t>Biaya (Grand Total)</t>
  </si>
  <si>
    <t>Term of Payment (TOP)</t>
  </si>
  <si>
    <t>Persiapan (Singapore)</t>
  </si>
  <si>
    <t>071*</t>
  </si>
  <si>
    <t>Bunker (LSMGO 50 MT). Pengisian Solar (MGO) di Singapore sehari sebelum shifting ke dermaga muat. Stok ini digunakan untuk operasional mesin selama perjalanan ke Kotabaru.</t>
  </si>
  <si>
    <t>30 Days after delivery</t>
  </si>
  <si>
    <t>Remark</t>
  </si>
  <si>
    <t>Arrive Pengerang</t>
  </si>
  <si>
    <t>Dept. Pengerang</t>
  </si>
  <si>
    <t>Arrive Tg. Uban</t>
  </si>
  <si>
    <t>Dept. Tg. Uban</t>
  </si>
  <si>
    <t>Arrive Tg. Priok</t>
  </si>
  <si>
    <t>Dept. Tg. Priok</t>
  </si>
  <si>
    <t xml:space="preserve">Arrive Singapore </t>
  </si>
  <si>
    <t>Dept. Singapore to EOPL</t>
  </si>
  <si>
    <t>Dept. EOPL</t>
  </si>
  <si>
    <t>Arrive Vopax Singapore</t>
  </si>
  <si>
    <t>Dept. Vopax Singapore</t>
  </si>
  <si>
    <t>Dept. Singapore</t>
  </si>
  <si>
    <t>Arrive EOPL</t>
  </si>
  <si>
    <t>Arrive Baubau</t>
  </si>
  <si>
    <t>Dept. Baubau</t>
  </si>
  <si>
    <t>Shifting to Pengerang</t>
  </si>
  <si>
    <t>Arrival BauBau</t>
  </si>
  <si>
    <t>Arrive Surabaya</t>
  </si>
  <si>
    <t>Dept. Surabaya</t>
  </si>
  <si>
    <t>Shifting to Tg. Langsat</t>
  </si>
  <si>
    <t>Dept. Tg. Langsat</t>
  </si>
  <si>
    <t>Shifting for berthing at Singapore</t>
  </si>
  <si>
    <t>Arrive Kotabaru</t>
  </si>
  <si>
    <t>Dept. Kotabaru</t>
  </si>
  <si>
    <t>Operasional Akhir Voyage</t>
  </si>
  <si>
    <t xml:space="preserve"> (Singapore Call &amp; Late Aug)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</si>
</sst>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(&quot;Rp&quot;* #,##0_);_(&quot;Rp&quot;* \(#,##0\);_(&quot;Rp&quot;* &quot;-&quot;_);_(@_)"/>
    <numFmt numFmtId="164" formatCode="[$Rp]#,##0"/>
    <numFmt numFmtId="165" formatCode="&quot;$&quot;#,##0.00"/>
    <numFmt numFmtId="166" formatCode="mmm\ d"/>
    <numFmt numFmtId="167" formatCode="d\ mmm"/>
    <numFmt numFmtId="168" formatCode="dd\ mmm"/>
    <numFmt numFmtId="169" formatCode="mmm\ dd"/>
    <numFmt numFmtId="170" formatCode="[$£]#,##0.00"/>
    <numFmt numFmtId="174" formatCode="_([$$-409]* #,##0.00_);_([$$-409]* \(#,##0.00\);_([$$-409]* &quot;-&quot;??_);_(@_)"/>
  </numFmts>
  <fonts count="1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&quot;Google Sans Text&quot;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0"/>
      <color rgb="FF1F1F1F"/>
      <name val="&quot;Google Sans Text&quot;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2" fontId="11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1" fillId="0" borderId="0" xfId="0" applyNumberFormat="1" applyFont="1"/>
    <xf numFmtId="0" fontId="4" fillId="0" borderId="0" xfId="0" applyFont="1"/>
    <xf numFmtId="165" fontId="1" fillId="0" borderId="0" xfId="0" applyNumberFormat="1" applyFont="1"/>
    <xf numFmtId="166" fontId="5" fillId="0" borderId="0" xfId="0" applyNumberFormat="1" applyFont="1" applyAlignment="1">
      <alignment horizontal="right"/>
    </xf>
    <xf numFmtId="20" fontId="4" fillId="0" borderId="0" xfId="0" applyNumberFormat="1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67" fontId="4" fillId="0" borderId="0" xfId="0" applyNumberFormat="1" applyFont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8" fontId="4" fillId="0" borderId="0" xfId="0" applyNumberFormat="1" applyFont="1" applyAlignment="1">
      <alignment vertical="center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9" fontId="5" fillId="0" borderId="0" xfId="0" applyNumberFormat="1" applyFont="1"/>
    <xf numFmtId="166" fontId="5" fillId="0" borderId="0" xfId="0" applyNumberFormat="1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169" fontId="5" fillId="0" borderId="0" xfId="0" applyNumberFormat="1" applyFont="1" applyAlignment="1">
      <alignment horizontal="right"/>
    </xf>
    <xf numFmtId="170" fontId="1" fillId="0" borderId="0" xfId="0" applyNumberFormat="1" applyFont="1"/>
    <xf numFmtId="170" fontId="5" fillId="0" borderId="0" xfId="0" applyNumberFormat="1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10" fillId="0" borderId="1" xfId="0" applyFont="1" applyBorder="1"/>
    <xf numFmtId="14" fontId="10" fillId="0" borderId="1" xfId="0" applyNumberFormat="1" applyFont="1" applyBorder="1"/>
    <xf numFmtId="20" fontId="10" fillId="0" borderId="1" xfId="0" applyNumberFormat="1" applyFont="1" applyBorder="1"/>
    <xf numFmtId="0" fontId="1" fillId="0" borderId="0" xfId="0" applyFont="1"/>
    <xf numFmtId="0" fontId="0" fillId="0" borderId="0" xfId="0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/>
    <xf numFmtId="0" fontId="16" fillId="0" borderId="0" xfId="0" applyFont="1"/>
    <xf numFmtId="0" fontId="16" fillId="0" borderId="0" xfId="0" applyFont="1"/>
    <xf numFmtId="0" fontId="15" fillId="0" borderId="0" xfId="0" applyFont="1" applyAlignment="1">
      <alignment vertical="center" wrapText="1"/>
    </xf>
    <xf numFmtId="167" fontId="14" fillId="0" borderId="0" xfId="0" applyNumberFormat="1" applyFont="1" applyAlignment="1">
      <alignment vertical="center" wrapText="1"/>
    </xf>
    <xf numFmtId="164" fontId="15" fillId="0" borderId="0" xfId="0" applyNumberFormat="1" applyFont="1" applyAlignment="1">
      <alignment vertical="center" wrapText="1"/>
    </xf>
    <xf numFmtId="164" fontId="14" fillId="0" borderId="0" xfId="0" applyNumberFormat="1" applyFont="1" applyAlignment="1">
      <alignment vertical="center" wrapText="1"/>
    </xf>
    <xf numFmtId="0" fontId="17" fillId="0" borderId="0" xfId="0" applyFont="1" applyAlignment="1">
      <alignment vertical="center" wrapText="1"/>
    </xf>
    <xf numFmtId="165" fontId="15" fillId="0" borderId="0" xfId="0" applyNumberFormat="1" applyFont="1" applyAlignment="1">
      <alignment vertical="center" wrapText="1"/>
    </xf>
    <xf numFmtId="165" fontId="14" fillId="0" borderId="0" xfId="0" applyNumberFormat="1" applyFont="1" applyAlignment="1">
      <alignment vertical="center" wrapText="1"/>
    </xf>
    <xf numFmtId="0" fontId="12" fillId="0" borderId="0" xfId="0" applyFont="1" applyAlignment="1">
      <alignment vertical="center" wrapText="1"/>
    </xf>
    <xf numFmtId="167" fontId="12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18" fillId="0" borderId="0" xfId="0" applyFont="1" applyAlignment="1">
      <alignment vertical="center" wrapText="1"/>
    </xf>
    <xf numFmtId="168" fontId="14" fillId="0" borderId="0" xfId="0" applyNumberFormat="1" applyFont="1" applyAlignment="1">
      <alignment vertical="center" wrapText="1"/>
    </xf>
    <xf numFmtId="0" fontId="13" fillId="0" borderId="0" xfId="0" applyFont="1"/>
    <xf numFmtId="42" fontId="0" fillId="0" borderId="0" xfId="1" applyFont="1"/>
    <xf numFmtId="174" fontId="1" fillId="0" borderId="0" xfId="1" applyNumberFormat="1" applyFont="1"/>
    <xf numFmtId="0" fontId="11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1" fillId="0" borderId="0" xfId="0" applyFont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76"/>
  <sheetViews>
    <sheetView workbookViewId="0">
      <selection activeCell="A21" sqref="A21"/>
    </sheetView>
  </sheetViews>
  <sheetFormatPr baseColWidth="10" defaultColWidth="12.6640625" defaultRowHeight="13"/>
  <cols>
    <col min="1" max="1" width="24.6640625" bestFit="1" customWidth="1"/>
    <col min="2" max="2" width="21.83203125" bestFit="1" customWidth="1"/>
    <col min="3" max="3" width="14.83203125" bestFit="1" customWidth="1"/>
    <col min="4" max="4" width="14.5" bestFit="1" customWidth="1"/>
    <col min="5" max="5" width="19.6640625" customWidth="1"/>
    <col min="6" max="6" width="9.33203125" bestFit="1" customWidth="1"/>
    <col min="7" max="7" width="13.33203125" bestFit="1" customWidth="1"/>
    <col min="8" max="8" width="11.1640625" bestFit="1" customWidth="1"/>
    <col min="9" max="9" width="46.5" bestFit="1" customWidth="1"/>
    <col min="11" max="11" width="13.33203125" bestFit="1" customWidth="1"/>
    <col min="12" max="12" width="11.1640625" bestFit="1" customWidth="1"/>
  </cols>
  <sheetData>
    <row r="1" spans="1:12">
      <c r="A1" s="39" t="s">
        <v>0</v>
      </c>
    </row>
    <row r="2" spans="1:12">
      <c r="I2" s="2" t="s">
        <v>1</v>
      </c>
      <c r="K2" s="1" t="s">
        <v>2</v>
      </c>
      <c r="L2" s="1" t="s">
        <v>3</v>
      </c>
    </row>
    <row r="3" spans="1:12">
      <c r="A3" s="3" t="s">
        <v>4</v>
      </c>
      <c r="B3" s="32" t="s">
        <v>5</v>
      </c>
      <c r="C3" s="33"/>
      <c r="D3" s="33"/>
      <c r="I3" s="2" t="s">
        <v>6</v>
      </c>
    </row>
    <row r="4" spans="1:12">
      <c r="A4" s="2" t="s">
        <v>7</v>
      </c>
      <c r="B4" s="1" t="s">
        <v>8</v>
      </c>
      <c r="I4" s="1" t="s">
        <v>9</v>
      </c>
      <c r="K4" s="4">
        <f t="shared" ref="K4:K7" si="0">SUMIF($A$22:$A$63,I4,$G$22:$G$63)</f>
        <v>299110168</v>
      </c>
    </row>
    <row r="5" spans="1:12">
      <c r="A5" s="5"/>
      <c r="B5" s="5"/>
      <c r="C5" s="5"/>
      <c r="D5" s="5"/>
      <c r="E5" s="5"/>
      <c r="I5" s="1" t="s">
        <v>10</v>
      </c>
      <c r="K5" s="4">
        <f t="shared" si="0"/>
        <v>734192820</v>
      </c>
      <c r="L5" s="6"/>
    </row>
    <row r="6" spans="1:12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I6" s="1" t="s">
        <v>16</v>
      </c>
      <c r="K6" s="4">
        <f t="shared" si="0"/>
        <v>399868686</v>
      </c>
      <c r="L6" s="6"/>
    </row>
    <row r="7" spans="1:12">
      <c r="A7" s="7">
        <v>46228</v>
      </c>
      <c r="B7" s="8">
        <v>0.10833333333333334</v>
      </c>
      <c r="C7" s="5" t="s">
        <v>17</v>
      </c>
      <c r="D7" s="5" t="s">
        <v>18</v>
      </c>
      <c r="E7" s="5" t="s">
        <v>19</v>
      </c>
      <c r="I7" s="1" t="s">
        <v>20</v>
      </c>
      <c r="K7" s="4">
        <f t="shared" si="0"/>
        <v>191307929</v>
      </c>
      <c r="L7" s="6"/>
    </row>
    <row r="8" spans="1:12">
      <c r="A8" s="9" t="s">
        <v>21</v>
      </c>
      <c r="B8" s="8">
        <v>0.39583333333333331</v>
      </c>
      <c r="C8" s="5" t="s">
        <v>22</v>
      </c>
      <c r="D8" s="5" t="s">
        <v>18</v>
      </c>
      <c r="E8" s="5" t="s">
        <v>19</v>
      </c>
      <c r="L8" s="6"/>
    </row>
    <row r="9" spans="1:12">
      <c r="A9" s="9" t="s">
        <v>21</v>
      </c>
      <c r="B9" s="8">
        <v>0.41666666666666669</v>
      </c>
      <c r="C9" s="5" t="s">
        <v>17</v>
      </c>
      <c r="D9" s="5" t="s">
        <v>23</v>
      </c>
      <c r="E9" s="5" t="s">
        <v>24</v>
      </c>
      <c r="I9" s="2" t="s">
        <v>25</v>
      </c>
      <c r="K9" s="4"/>
      <c r="L9" s="6"/>
    </row>
    <row r="10" spans="1:12">
      <c r="A10" s="9" t="s">
        <v>26</v>
      </c>
      <c r="B10" s="8">
        <v>0.25</v>
      </c>
      <c r="C10" s="5" t="s">
        <v>22</v>
      </c>
      <c r="D10" s="5" t="s">
        <v>23</v>
      </c>
      <c r="E10" s="5" t="s">
        <v>24</v>
      </c>
      <c r="I10" s="1" t="s">
        <v>27</v>
      </c>
      <c r="K10" s="4"/>
      <c r="L10" s="6">
        <f>SUMIF($A$22:$A$63,I10,$H$22:$H$63)</f>
        <v>370890</v>
      </c>
    </row>
    <row r="11" spans="1:12">
      <c r="A11" s="9" t="s">
        <v>28</v>
      </c>
      <c r="B11" s="8">
        <v>0.77916666666666667</v>
      </c>
      <c r="C11" s="5" t="s">
        <v>17</v>
      </c>
      <c r="D11" s="5" t="s">
        <v>29</v>
      </c>
      <c r="E11" s="5" t="s">
        <v>24</v>
      </c>
      <c r="I11" s="1" t="s">
        <v>30</v>
      </c>
      <c r="K11" s="4">
        <f>SUMIF($A$22:$A$63,I11,$G$22:$G$63)</f>
        <v>258595682</v>
      </c>
      <c r="L11" s="6"/>
    </row>
    <row r="12" spans="1:12">
      <c r="A12" s="9" t="s">
        <v>31</v>
      </c>
      <c r="B12" s="8">
        <v>0.79166666666666663</v>
      </c>
      <c r="C12" s="5" t="s">
        <v>22</v>
      </c>
      <c r="D12" s="5" t="s">
        <v>29</v>
      </c>
      <c r="E12" s="5" t="s">
        <v>24</v>
      </c>
      <c r="K12" s="4"/>
      <c r="L12" s="6"/>
    </row>
    <row r="13" spans="1:12">
      <c r="A13" s="9" t="s">
        <v>32</v>
      </c>
      <c r="B13" s="8">
        <v>0.91666666666666663</v>
      </c>
      <c r="C13" s="5" t="s">
        <v>17</v>
      </c>
      <c r="D13" s="5" t="s">
        <v>33</v>
      </c>
      <c r="E13" s="5" t="s">
        <v>34</v>
      </c>
      <c r="I13" s="2" t="s">
        <v>35</v>
      </c>
      <c r="K13" s="4"/>
      <c r="L13" s="6"/>
    </row>
    <row r="14" spans="1:12">
      <c r="A14" s="9" t="s">
        <v>36</v>
      </c>
      <c r="B14" s="8">
        <v>8.3333333333333329E-2</v>
      </c>
      <c r="C14" s="5" t="s">
        <v>22</v>
      </c>
      <c r="D14" s="5" t="s">
        <v>37</v>
      </c>
      <c r="E14" s="5" t="s">
        <v>38</v>
      </c>
      <c r="I14" s="1" t="s">
        <v>39</v>
      </c>
      <c r="K14" s="4"/>
      <c r="L14" s="6">
        <f>SUMIF($A$22:$A$63,I14,$H$22:$H$63)</f>
        <v>2017</v>
      </c>
    </row>
    <row r="15" spans="1:12">
      <c r="I15" s="1" t="s">
        <v>40</v>
      </c>
      <c r="K15" s="4">
        <f t="shared" ref="K15:K17" si="1">SUMIF($A$22:$A$63,I15,$G$22:$G$63)</f>
        <v>104395860</v>
      </c>
      <c r="L15" s="6"/>
    </row>
    <row r="16" spans="1:12">
      <c r="I16" s="1" t="s">
        <v>41</v>
      </c>
      <c r="K16" s="4">
        <f t="shared" si="1"/>
        <v>3336000</v>
      </c>
      <c r="L16" s="6"/>
    </row>
    <row r="17" spans="1:12">
      <c r="A17" s="2" t="s">
        <v>42</v>
      </c>
      <c r="I17" s="1" t="s">
        <v>43</v>
      </c>
      <c r="K17" s="4">
        <f t="shared" si="1"/>
        <v>19000000</v>
      </c>
      <c r="L17" s="6"/>
    </row>
    <row r="20" spans="1:12" ht="42">
      <c r="A20" s="41" t="s">
        <v>44</v>
      </c>
      <c r="B20" s="41" t="s">
        <v>45</v>
      </c>
      <c r="C20" s="41" t="s">
        <v>46</v>
      </c>
      <c r="D20" s="41" t="s">
        <v>47</v>
      </c>
      <c r="E20" s="41" t="s">
        <v>48</v>
      </c>
      <c r="F20" s="41" t="s">
        <v>49</v>
      </c>
      <c r="G20" s="41" t="s">
        <v>50</v>
      </c>
      <c r="H20" s="41" t="s">
        <v>51</v>
      </c>
    </row>
    <row r="21" spans="1:12">
      <c r="A21" s="42" t="s">
        <v>6</v>
      </c>
      <c r="B21" s="42"/>
      <c r="C21" s="42"/>
      <c r="D21" s="43"/>
      <c r="E21" s="44"/>
      <c r="F21" s="45"/>
      <c r="G21" s="45"/>
      <c r="H21" s="45"/>
    </row>
    <row r="22" spans="1:12" ht="28">
      <c r="A22" s="46" t="s">
        <v>9</v>
      </c>
      <c r="B22" s="46">
        <v>4</v>
      </c>
      <c r="C22" s="41" t="s">
        <v>52</v>
      </c>
      <c r="D22" s="47">
        <v>46213</v>
      </c>
      <c r="E22" s="41" t="s">
        <v>53</v>
      </c>
      <c r="F22" s="48" t="s">
        <v>54</v>
      </c>
      <c r="G22" s="49">
        <v>156510000</v>
      </c>
      <c r="H22" s="41"/>
    </row>
    <row r="23" spans="1:12" ht="42">
      <c r="A23" s="50" t="s">
        <v>9</v>
      </c>
      <c r="B23" s="46">
        <v>1</v>
      </c>
      <c r="C23" s="41" t="s">
        <v>55</v>
      </c>
      <c r="D23" s="47">
        <v>45883</v>
      </c>
      <c r="E23" s="41" t="s">
        <v>56</v>
      </c>
      <c r="F23" s="51" t="s">
        <v>57</v>
      </c>
      <c r="G23" s="45"/>
      <c r="H23" s="52">
        <v>3300</v>
      </c>
    </row>
    <row r="24" spans="1:12" ht="28">
      <c r="A24" s="50" t="s">
        <v>9</v>
      </c>
      <c r="B24" s="46">
        <v>28</v>
      </c>
      <c r="C24" s="41" t="s">
        <v>58</v>
      </c>
      <c r="D24" s="47">
        <v>46219</v>
      </c>
      <c r="E24" s="41" t="s">
        <v>59</v>
      </c>
      <c r="F24" s="48" t="s">
        <v>54</v>
      </c>
      <c r="G24" s="49">
        <v>101593087</v>
      </c>
      <c r="H24" s="41"/>
    </row>
    <row r="25" spans="1:12" ht="14">
      <c r="A25" s="50" t="s">
        <v>9</v>
      </c>
      <c r="B25" s="45"/>
      <c r="C25" s="41" t="s">
        <v>60</v>
      </c>
      <c r="D25" s="47">
        <v>46221</v>
      </c>
      <c r="E25" s="41" t="s">
        <v>61</v>
      </c>
      <c r="F25" s="48" t="s">
        <v>62</v>
      </c>
      <c r="G25" s="49">
        <v>7772365</v>
      </c>
      <c r="H25" s="41"/>
    </row>
    <row r="26" spans="1:12" ht="28">
      <c r="A26" s="50" t="s">
        <v>9</v>
      </c>
      <c r="B26" s="46">
        <v>30</v>
      </c>
      <c r="C26" s="41" t="s">
        <v>60</v>
      </c>
      <c r="D26" s="47">
        <v>46221</v>
      </c>
      <c r="E26" s="41" t="s">
        <v>63</v>
      </c>
      <c r="F26" s="48" t="s">
        <v>62</v>
      </c>
      <c r="G26" s="49">
        <v>13450391</v>
      </c>
      <c r="H26" s="41"/>
    </row>
    <row r="27" spans="1:12" ht="70">
      <c r="A27" s="50" t="s">
        <v>9</v>
      </c>
      <c r="B27" s="53" t="s">
        <v>64</v>
      </c>
      <c r="C27" s="53" t="s">
        <v>65</v>
      </c>
      <c r="D27" s="54">
        <v>45827</v>
      </c>
      <c r="E27" s="41" t="s">
        <v>66</v>
      </c>
      <c r="F27" s="48" t="s">
        <v>67</v>
      </c>
      <c r="G27" s="55">
        <v>19784325</v>
      </c>
      <c r="H27" s="41"/>
    </row>
    <row r="28" spans="1:12" ht="28">
      <c r="A28" s="56" t="s">
        <v>10</v>
      </c>
      <c r="B28" s="46">
        <v>6</v>
      </c>
      <c r="C28" s="41" t="s">
        <v>68</v>
      </c>
      <c r="D28" s="47">
        <v>46214</v>
      </c>
      <c r="E28" s="41" t="s">
        <v>69</v>
      </c>
      <c r="F28" s="48" t="s">
        <v>54</v>
      </c>
      <c r="G28" s="49">
        <v>170000000</v>
      </c>
      <c r="H28" s="41"/>
    </row>
    <row r="29" spans="1:12" ht="28">
      <c r="A29" s="50" t="s">
        <v>10</v>
      </c>
      <c r="B29" s="46">
        <v>7</v>
      </c>
      <c r="C29" s="41" t="s">
        <v>68</v>
      </c>
      <c r="D29" s="47">
        <v>46216</v>
      </c>
      <c r="E29" s="41" t="s">
        <v>70</v>
      </c>
      <c r="F29" s="48" t="s">
        <v>54</v>
      </c>
      <c r="G29" s="49">
        <v>450000000</v>
      </c>
      <c r="H29" s="41"/>
    </row>
    <row r="30" spans="1:12" ht="28">
      <c r="A30" s="50" t="s">
        <v>10</v>
      </c>
      <c r="B30" s="46">
        <v>13</v>
      </c>
      <c r="C30" s="41" t="s">
        <v>71</v>
      </c>
      <c r="D30" s="47">
        <v>46221</v>
      </c>
      <c r="E30" s="41" t="s">
        <v>72</v>
      </c>
      <c r="F30" s="48" t="s">
        <v>73</v>
      </c>
      <c r="G30" s="49">
        <v>60775000</v>
      </c>
      <c r="H30" s="41"/>
    </row>
    <row r="31" spans="1:12" ht="14">
      <c r="A31" s="50" t="s">
        <v>10</v>
      </c>
      <c r="B31" s="46">
        <v>14</v>
      </c>
      <c r="C31" s="41" t="s">
        <v>68</v>
      </c>
      <c r="D31" s="47">
        <v>46222</v>
      </c>
      <c r="E31" s="41" t="s">
        <v>74</v>
      </c>
      <c r="F31" s="48" t="s">
        <v>57</v>
      </c>
      <c r="G31" s="49">
        <v>9000000</v>
      </c>
      <c r="H31" s="41"/>
    </row>
    <row r="32" spans="1:12" ht="14">
      <c r="A32" s="50" t="s">
        <v>10</v>
      </c>
      <c r="B32" s="46">
        <v>15</v>
      </c>
      <c r="C32" s="41" t="s">
        <v>68</v>
      </c>
      <c r="D32" s="47">
        <v>46222</v>
      </c>
      <c r="E32" s="41" t="s">
        <v>75</v>
      </c>
      <c r="F32" s="48" t="s">
        <v>57</v>
      </c>
      <c r="G32" s="49">
        <v>16025000</v>
      </c>
      <c r="H32" s="41"/>
    </row>
    <row r="33" spans="1:11" ht="28">
      <c r="A33" s="50" t="s">
        <v>10</v>
      </c>
      <c r="B33" s="46">
        <v>19</v>
      </c>
      <c r="C33" s="41" t="s">
        <v>68</v>
      </c>
      <c r="D33" s="47">
        <v>46225</v>
      </c>
      <c r="E33" s="41" t="s">
        <v>76</v>
      </c>
      <c r="F33" s="48" t="s">
        <v>57</v>
      </c>
      <c r="G33" s="49">
        <v>17500000</v>
      </c>
      <c r="H33" s="41"/>
    </row>
    <row r="34" spans="1:11" ht="14">
      <c r="A34" s="50" t="s">
        <v>10</v>
      </c>
      <c r="B34" s="46">
        <v>16</v>
      </c>
      <c r="C34" s="41" t="s">
        <v>77</v>
      </c>
      <c r="D34" s="47">
        <v>46224</v>
      </c>
      <c r="E34" s="41" t="s">
        <v>78</v>
      </c>
      <c r="F34" s="46" t="s">
        <v>79</v>
      </c>
      <c r="G34" s="49">
        <v>10892820</v>
      </c>
      <c r="H34" s="41"/>
    </row>
    <row r="35" spans="1:11" ht="28">
      <c r="A35" s="46" t="s">
        <v>16</v>
      </c>
      <c r="B35" s="46">
        <v>5</v>
      </c>
      <c r="C35" s="41" t="s">
        <v>80</v>
      </c>
      <c r="D35" s="47">
        <v>46213</v>
      </c>
      <c r="E35" s="41" t="s">
        <v>81</v>
      </c>
      <c r="F35" s="46" t="s">
        <v>54</v>
      </c>
      <c r="G35" s="49">
        <v>90559350</v>
      </c>
      <c r="H35" s="41"/>
    </row>
    <row r="36" spans="1:11" ht="28">
      <c r="A36" s="50" t="s">
        <v>16</v>
      </c>
      <c r="B36" s="46">
        <v>10</v>
      </c>
      <c r="C36" s="41" t="s">
        <v>77</v>
      </c>
      <c r="D36" s="47">
        <v>46220</v>
      </c>
      <c r="E36" s="41" t="s">
        <v>82</v>
      </c>
      <c r="F36" s="46" t="s">
        <v>54</v>
      </c>
      <c r="G36" s="49">
        <v>89650000</v>
      </c>
      <c r="H36" s="41"/>
    </row>
    <row r="37" spans="1:11" ht="28">
      <c r="A37" s="50" t="s">
        <v>16</v>
      </c>
      <c r="B37" s="46">
        <v>23</v>
      </c>
      <c r="C37" s="41" t="s">
        <v>83</v>
      </c>
      <c r="D37" s="47">
        <v>46228</v>
      </c>
      <c r="E37" s="41" t="s">
        <v>84</v>
      </c>
      <c r="F37" s="46" t="s">
        <v>62</v>
      </c>
      <c r="G37" s="49">
        <v>80000000</v>
      </c>
      <c r="H37" s="41"/>
    </row>
    <row r="38" spans="1:11" ht="28">
      <c r="A38" s="50" t="s">
        <v>16</v>
      </c>
      <c r="B38" s="46">
        <v>12</v>
      </c>
      <c r="C38" s="41" t="s">
        <v>85</v>
      </c>
      <c r="D38" s="47">
        <v>46221</v>
      </c>
      <c r="E38" s="41" t="s">
        <v>86</v>
      </c>
      <c r="F38" s="46" t="s">
        <v>73</v>
      </c>
      <c r="G38" s="49">
        <v>23500000</v>
      </c>
      <c r="H38" s="41"/>
    </row>
    <row r="39" spans="1:11" ht="28">
      <c r="A39" s="50" t="s">
        <v>16</v>
      </c>
      <c r="B39" s="46">
        <v>17</v>
      </c>
      <c r="C39" s="41" t="s">
        <v>77</v>
      </c>
      <c r="D39" s="47">
        <v>46225</v>
      </c>
      <c r="E39" s="41" t="s">
        <v>87</v>
      </c>
      <c r="F39" s="46" t="s">
        <v>62</v>
      </c>
      <c r="G39" s="49">
        <v>110558136</v>
      </c>
      <c r="H39" s="41"/>
    </row>
    <row r="40" spans="1:11" ht="28">
      <c r="A40" s="50" t="s">
        <v>16</v>
      </c>
      <c r="B40" s="46">
        <v>22</v>
      </c>
      <c r="C40" s="41" t="s">
        <v>77</v>
      </c>
      <c r="D40" s="47">
        <v>46228</v>
      </c>
      <c r="E40" s="41" t="s">
        <v>88</v>
      </c>
      <c r="F40" s="46" t="s">
        <v>73</v>
      </c>
      <c r="G40" s="49">
        <v>5601200</v>
      </c>
      <c r="H40" s="41"/>
    </row>
    <row r="41" spans="1:11" ht="28">
      <c r="A41" s="46" t="s">
        <v>20</v>
      </c>
      <c r="B41" s="46">
        <v>20</v>
      </c>
      <c r="C41" s="41" t="s">
        <v>89</v>
      </c>
      <c r="D41" s="47">
        <v>46219</v>
      </c>
      <c r="E41" s="41" t="s">
        <v>90</v>
      </c>
      <c r="F41" s="46" t="s">
        <v>54</v>
      </c>
      <c r="G41" s="49">
        <v>38739000</v>
      </c>
      <c r="H41" s="41"/>
    </row>
    <row r="42" spans="1:11" ht="28">
      <c r="A42" s="50" t="s">
        <v>20</v>
      </c>
      <c r="B42" s="46">
        <v>2</v>
      </c>
      <c r="C42" s="41" t="s">
        <v>91</v>
      </c>
      <c r="D42" s="57">
        <v>46210</v>
      </c>
      <c r="E42" s="41" t="s">
        <v>92</v>
      </c>
      <c r="F42" s="46" t="s">
        <v>79</v>
      </c>
      <c r="G42" s="49">
        <v>85754160</v>
      </c>
      <c r="H42" s="41"/>
    </row>
    <row r="43" spans="1:11" ht="14">
      <c r="A43" s="50" t="s">
        <v>20</v>
      </c>
      <c r="B43" s="46">
        <v>36</v>
      </c>
      <c r="C43" s="41" t="s">
        <v>91</v>
      </c>
      <c r="D43" s="47">
        <v>46228</v>
      </c>
      <c r="E43" s="41" t="s">
        <v>93</v>
      </c>
      <c r="F43" s="46" t="s">
        <v>79</v>
      </c>
      <c r="G43" s="49">
        <v>31979100</v>
      </c>
      <c r="H43" s="41"/>
    </row>
    <row r="44" spans="1:11" ht="28">
      <c r="A44" s="50" t="s">
        <v>20</v>
      </c>
      <c r="B44" s="46">
        <v>8</v>
      </c>
      <c r="C44" s="41" t="s">
        <v>77</v>
      </c>
      <c r="D44" s="47">
        <v>46217</v>
      </c>
      <c r="E44" s="41" t="s">
        <v>94</v>
      </c>
      <c r="F44" s="46" t="s">
        <v>95</v>
      </c>
      <c r="G44" s="49">
        <v>28675669</v>
      </c>
      <c r="H44" s="41"/>
    </row>
    <row r="45" spans="1:11" ht="56">
      <c r="A45" s="50" t="s">
        <v>20</v>
      </c>
      <c r="B45" s="58" t="s">
        <v>96</v>
      </c>
      <c r="C45" s="41" t="s">
        <v>97</v>
      </c>
      <c r="D45" s="41" t="s">
        <v>98</v>
      </c>
      <c r="E45" s="41" t="s">
        <v>99</v>
      </c>
      <c r="F45" s="46" t="s">
        <v>95</v>
      </c>
      <c r="G45" s="49"/>
      <c r="H45" s="52">
        <v>494</v>
      </c>
    </row>
    <row r="46" spans="1:11" ht="28">
      <c r="A46" s="50" t="s">
        <v>20</v>
      </c>
      <c r="B46" s="46">
        <v>18</v>
      </c>
      <c r="C46" s="41" t="s">
        <v>77</v>
      </c>
      <c r="D46" s="47">
        <v>46225</v>
      </c>
      <c r="E46" s="41" t="s">
        <v>100</v>
      </c>
      <c r="F46" s="46" t="s">
        <v>95</v>
      </c>
      <c r="G46" s="49">
        <v>6160000</v>
      </c>
      <c r="H46" s="41"/>
    </row>
    <row r="47" spans="1:11">
      <c r="A47" s="58" t="s">
        <v>25</v>
      </c>
      <c r="B47" s="58"/>
      <c r="C47" s="58"/>
      <c r="D47" s="58"/>
      <c r="E47" s="58"/>
      <c r="F47" s="58"/>
      <c r="G47" s="58"/>
      <c r="H47" s="58"/>
      <c r="K47" s="4"/>
    </row>
    <row r="48" spans="1:11" ht="112">
      <c r="A48" s="46" t="s">
        <v>27</v>
      </c>
      <c r="B48" s="46">
        <v>3</v>
      </c>
      <c r="C48" s="41" t="s">
        <v>101</v>
      </c>
      <c r="D48" s="57">
        <v>46211</v>
      </c>
      <c r="E48" s="41" t="s">
        <v>102</v>
      </c>
      <c r="F48" s="46" t="s">
        <v>54</v>
      </c>
      <c r="G48" s="45"/>
      <c r="H48" s="52">
        <v>190850</v>
      </c>
    </row>
    <row r="49" spans="1:8" ht="70">
      <c r="A49" s="50" t="s">
        <v>27</v>
      </c>
      <c r="B49" s="46">
        <v>21</v>
      </c>
      <c r="C49" s="41" t="s">
        <v>101</v>
      </c>
      <c r="D49" s="47">
        <v>46227</v>
      </c>
      <c r="E49" s="41" t="s">
        <v>103</v>
      </c>
      <c r="F49" s="46" t="s">
        <v>54</v>
      </c>
      <c r="G49" s="45"/>
      <c r="H49" s="52">
        <v>44400</v>
      </c>
    </row>
    <row r="50" spans="1:8" ht="84">
      <c r="A50" s="46" t="s">
        <v>30</v>
      </c>
      <c r="B50" s="46" t="s">
        <v>104</v>
      </c>
      <c r="C50" s="41" t="s">
        <v>105</v>
      </c>
      <c r="D50" s="47">
        <v>46219</v>
      </c>
      <c r="E50" s="41" t="s">
        <v>106</v>
      </c>
      <c r="F50" s="46" t="s">
        <v>62</v>
      </c>
      <c r="G50" s="49">
        <v>115353050</v>
      </c>
      <c r="H50" s="41"/>
    </row>
    <row r="51" spans="1:8" ht="56">
      <c r="A51" s="50" t="s">
        <v>30</v>
      </c>
      <c r="B51" s="46" t="s">
        <v>107</v>
      </c>
      <c r="C51" s="41" t="s">
        <v>105</v>
      </c>
      <c r="D51" s="47">
        <v>46219</v>
      </c>
      <c r="E51" s="41" t="s">
        <v>108</v>
      </c>
      <c r="F51" s="46" t="s">
        <v>62</v>
      </c>
      <c r="G51" s="49">
        <v>103224492</v>
      </c>
      <c r="H51" s="41"/>
    </row>
    <row r="52" spans="1:8" ht="56">
      <c r="A52" s="50" t="s">
        <v>30</v>
      </c>
      <c r="B52" s="46" t="s">
        <v>109</v>
      </c>
      <c r="C52" s="41" t="s">
        <v>105</v>
      </c>
      <c r="D52" s="47">
        <v>46226</v>
      </c>
      <c r="E52" s="41" t="s">
        <v>110</v>
      </c>
      <c r="F52" s="46" t="s">
        <v>111</v>
      </c>
      <c r="G52" s="49">
        <v>20400000</v>
      </c>
      <c r="H52" s="41"/>
    </row>
    <row r="53" spans="1:8" ht="56">
      <c r="A53" s="50" t="s">
        <v>30</v>
      </c>
      <c r="B53" s="46" t="s">
        <v>112</v>
      </c>
      <c r="C53" s="41" t="s">
        <v>105</v>
      </c>
      <c r="D53" s="47">
        <v>46226</v>
      </c>
      <c r="E53" s="41" t="s">
        <v>113</v>
      </c>
      <c r="F53" s="46" t="s">
        <v>111</v>
      </c>
      <c r="G53" s="49">
        <v>7685640</v>
      </c>
      <c r="H53" s="41"/>
    </row>
    <row r="54" spans="1:8" ht="70">
      <c r="A54" s="50" t="s">
        <v>30</v>
      </c>
      <c r="B54" s="46">
        <v>27</v>
      </c>
      <c r="C54" s="41" t="s">
        <v>105</v>
      </c>
      <c r="D54" s="47">
        <v>46219</v>
      </c>
      <c r="E54" s="41" t="s">
        <v>114</v>
      </c>
      <c r="F54" s="46" t="s">
        <v>95</v>
      </c>
      <c r="G54" s="49">
        <v>9990000</v>
      </c>
      <c r="H54" s="41"/>
    </row>
    <row r="55" spans="1:8" ht="56">
      <c r="A55" s="50" t="s">
        <v>30</v>
      </c>
      <c r="B55" s="46">
        <v>25</v>
      </c>
      <c r="C55" s="41" t="s">
        <v>105</v>
      </c>
      <c r="D55" s="47">
        <v>46226</v>
      </c>
      <c r="E55" s="41" t="s">
        <v>115</v>
      </c>
      <c r="F55" s="46" t="s">
        <v>95</v>
      </c>
      <c r="G55" s="49">
        <v>1942500</v>
      </c>
      <c r="H55" s="41"/>
    </row>
    <row r="56" spans="1:8" ht="70">
      <c r="A56" s="46" t="s">
        <v>116</v>
      </c>
      <c r="B56" s="46">
        <v>9</v>
      </c>
      <c r="C56" s="41" t="s">
        <v>117</v>
      </c>
      <c r="D56" s="47">
        <v>46217</v>
      </c>
      <c r="E56" s="41" t="s">
        <v>118</v>
      </c>
      <c r="F56" s="46" t="s">
        <v>62</v>
      </c>
      <c r="G56" s="49">
        <v>9800000</v>
      </c>
      <c r="H56" s="41"/>
    </row>
    <row r="57" spans="1:8">
      <c r="A57" s="58" t="s">
        <v>295</v>
      </c>
      <c r="B57" s="58" t="s">
        <v>296</v>
      </c>
      <c r="C57" s="58"/>
      <c r="D57" s="58"/>
      <c r="E57" s="58"/>
      <c r="F57" s="58"/>
      <c r="G57" s="58"/>
      <c r="H57" s="58"/>
    </row>
    <row r="58" spans="1:8" ht="84">
      <c r="A58" s="46" t="s">
        <v>27</v>
      </c>
      <c r="B58" s="46">
        <v>33</v>
      </c>
      <c r="C58" s="41" t="s">
        <v>101</v>
      </c>
      <c r="D58" s="41" t="s">
        <v>119</v>
      </c>
      <c r="E58" s="41" t="s">
        <v>120</v>
      </c>
      <c r="F58" s="46" t="s">
        <v>54</v>
      </c>
      <c r="G58" s="45"/>
      <c r="H58" s="52">
        <v>135640</v>
      </c>
    </row>
    <row r="59" spans="1:8" ht="84">
      <c r="A59" s="46" t="s">
        <v>39</v>
      </c>
      <c r="B59" s="46">
        <v>34</v>
      </c>
      <c r="C59" s="41" t="s">
        <v>121</v>
      </c>
      <c r="D59" s="41" t="s">
        <v>119</v>
      </c>
      <c r="E59" s="41" t="s">
        <v>122</v>
      </c>
      <c r="F59" s="46" t="s">
        <v>54</v>
      </c>
      <c r="G59" s="45"/>
      <c r="H59" s="52">
        <v>2017</v>
      </c>
    </row>
    <row r="60" spans="1:8" ht="70">
      <c r="A60" s="46" t="s">
        <v>40</v>
      </c>
      <c r="B60" s="46">
        <v>48</v>
      </c>
      <c r="C60" s="41" t="s">
        <v>123</v>
      </c>
      <c r="D60" s="41" t="s">
        <v>124</v>
      </c>
      <c r="E60" s="41" t="s">
        <v>125</v>
      </c>
      <c r="F60" s="46" t="s">
        <v>95</v>
      </c>
      <c r="G60" s="49">
        <v>104395860</v>
      </c>
      <c r="H60" s="41"/>
    </row>
    <row r="61" spans="1:8" ht="56">
      <c r="A61" s="46" t="s">
        <v>41</v>
      </c>
      <c r="B61" s="46">
        <v>31</v>
      </c>
      <c r="C61" s="41" t="s">
        <v>126</v>
      </c>
      <c r="D61" s="41" t="s">
        <v>127</v>
      </c>
      <c r="E61" s="41" t="s">
        <v>128</v>
      </c>
      <c r="F61" s="46" t="s">
        <v>111</v>
      </c>
      <c r="G61" s="49">
        <v>1668000</v>
      </c>
      <c r="H61" s="41"/>
    </row>
    <row r="62" spans="1:8" ht="42">
      <c r="A62" s="50" t="s">
        <v>41</v>
      </c>
      <c r="B62" s="46">
        <v>32</v>
      </c>
      <c r="C62" s="41" t="s">
        <v>126</v>
      </c>
      <c r="D62" s="41" t="s">
        <v>127</v>
      </c>
      <c r="E62" s="41" t="s">
        <v>129</v>
      </c>
      <c r="F62" s="46" t="s">
        <v>111</v>
      </c>
      <c r="G62" s="49">
        <v>1668000</v>
      </c>
      <c r="H62" s="41"/>
    </row>
    <row r="63" spans="1:8" ht="56">
      <c r="A63" s="46" t="s">
        <v>43</v>
      </c>
      <c r="B63" s="46">
        <v>53</v>
      </c>
      <c r="C63" s="41" t="s">
        <v>130</v>
      </c>
      <c r="D63" s="47">
        <v>46234</v>
      </c>
      <c r="E63" s="41" t="s">
        <v>131</v>
      </c>
      <c r="F63" s="46" t="s">
        <v>95</v>
      </c>
      <c r="G63" s="49">
        <v>19000000</v>
      </c>
      <c r="H63" s="41"/>
    </row>
    <row r="64" spans="1:8" ht="16">
      <c r="B64" s="34"/>
      <c r="C64" s="33"/>
    </row>
    <row r="65" spans="1:5" ht="16">
      <c r="B65" s="35"/>
      <c r="C65" s="33"/>
    </row>
    <row r="66" spans="1:5" ht="16">
      <c r="A66" s="2"/>
      <c r="B66" s="35"/>
      <c r="C66" s="33"/>
      <c r="D66" s="19"/>
    </row>
    <row r="67" spans="1:5" ht="16">
      <c r="A67" s="2"/>
      <c r="B67" s="35"/>
      <c r="C67" s="33"/>
      <c r="D67" s="36"/>
      <c r="E67" s="33"/>
    </row>
    <row r="72" spans="1:5">
      <c r="A72" s="2"/>
    </row>
    <row r="76" spans="1:5">
      <c r="A76" s="2"/>
    </row>
  </sheetData>
  <mergeCells count="7">
    <mergeCell ref="B67:C67"/>
    <mergeCell ref="D67:E67"/>
    <mergeCell ref="B3:D3"/>
    <mergeCell ref="D21:E21"/>
    <mergeCell ref="B64:C64"/>
    <mergeCell ref="B65:C65"/>
    <mergeCell ref="B66:C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46"/>
  <sheetViews>
    <sheetView tabSelected="1" topLeftCell="A27" workbookViewId="0">
      <selection activeCell="I28" sqref="I28"/>
    </sheetView>
  </sheetViews>
  <sheetFormatPr baseColWidth="10" defaultColWidth="12.6640625" defaultRowHeight="13"/>
  <cols>
    <col min="10" max="10" width="11.5" customWidth="1"/>
  </cols>
  <sheetData>
    <row r="1" spans="1:12">
      <c r="A1" s="39" t="s">
        <v>132</v>
      </c>
    </row>
    <row r="3" spans="1:12">
      <c r="A3" s="3" t="s">
        <v>4</v>
      </c>
      <c r="B3" s="1" t="s">
        <v>133</v>
      </c>
      <c r="I3" s="2" t="s">
        <v>134</v>
      </c>
      <c r="K3" s="1" t="s">
        <v>2</v>
      </c>
      <c r="L3" s="1" t="s">
        <v>3</v>
      </c>
    </row>
    <row r="4" spans="1:12">
      <c r="A4" s="2" t="s">
        <v>7</v>
      </c>
      <c r="B4" s="1" t="s">
        <v>135</v>
      </c>
      <c r="D4" s="1"/>
      <c r="I4" s="1" t="s">
        <v>136</v>
      </c>
      <c r="K4" s="4">
        <f t="shared" ref="K4:K9" si="0">SUMIF($A$23:$A$42,I4,$G$23:$G$42)</f>
        <v>2887650</v>
      </c>
    </row>
    <row r="5" spans="1:12">
      <c r="A5" s="2" t="s">
        <v>137</v>
      </c>
      <c r="B5" s="1" t="s">
        <v>138</v>
      </c>
      <c r="I5" s="1" t="s">
        <v>139</v>
      </c>
      <c r="K5" s="4">
        <f t="shared" si="0"/>
        <v>3879850</v>
      </c>
    </row>
    <row r="6" spans="1:12">
      <c r="I6" s="1" t="s">
        <v>140</v>
      </c>
      <c r="K6" s="4">
        <f t="shared" si="0"/>
        <v>30967002</v>
      </c>
    </row>
    <row r="7" spans="1:12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I7" s="1" t="s">
        <v>43</v>
      </c>
      <c r="K7" s="4">
        <f t="shared" si="0"/>
        <v>19000000</v>
      </c>
    </row>
    <row r="8" spans="1:12">
      <c r="A8" s="20">
        <v>46270</v>
      </c>
      <c r="B8" s="8">
        <v>0.4375</v>
      </c>
      <c r="C8" s="5" t="s">
        <v>22</v>
      </c>
      <c r="D8" s="5" t="s">
        <v>141</v>
      </c>
      <c r="E8" s="5" t="s">
        <v>38</v>
      </c>
      <c r="I8" s="1" t="s">
        <v>142</v>
      </c>
      <c r="K8" s="4">
        <f t="shared" si="0"/>
        <v>26334000</v>
      </c>
    </row>
    <row r="9" spans="1:12">
      <c r="A9" s="20">
        <v>46270</v>
      </c>
      <c r="B9" s="8">
        <v>0.70833333333333337</v>
      </c>
      <c r="C9" s="5" t="s">
        <v>17</v>
      </c>
      <c r="D9" s="5" t="s">
        <v>143</v>
      </c>
      <c r="E9" s="5" t="s">
        <v>19</v>
      </c>
      <c r="I9" s="1" t="s">
        <v>144</v>
      </c>
      <c r="K9" s="4">
        <f t="shared" si="0"/>
        <v>38021940</v>
      </c>
    </row>
    <row r="10" spans="1:12">
      <c r="A10" s="20">
        <v>46272</v>
      </c>
      <c r="B10" s="8">
        <v>0.48749999999999999</v>
      </c>
      <c r="C10" s="5" t="s">
        <v>22</v>
      </c>
      <c r="D10" s="5" t="s">
        <v>143</v>
      </c>
      <c r="E10" s="5" t="s">
        <v>19</v>
      </c>
      <c r="I10" s="2" t="s">
        <v>145</v>
      </c>
      <c r="K10" s="4"/>
    </row>
    <row r="11" spans="1:12">
      <c r="A11" s="20">
        <v>46272</v>
      </c>
      <c r="B11" s="8">
        <v>0.59583333333333333</v>
      </c>
      <c r="C11" s="5" t="s">
        <v>17</v>
      </c>
      <c r="D11" s="5" t="s">
        <v>23</v>
      </c>
      <c r="E11" s="5" t="s">
        <v>24</v>
      </c>
      <c r="I11" s="1" t="s">
        <v>146</v>
      </c>
      <c r="K11" s="4">
        <f t="shared" ref="K11:K16" si="1">SUMIF($A$23:$A$42,I11,$G$23:$G$42)</f>
        <v>23793000</v>
      </c>
    </row>
    <row r="12" spans="1:12">
      <c r="A12" s="21">
        <v>46278</v>
      </c>
      <c r="B12" s="8">
        <v>0.47916666666666669</v>
      </c>
      <c r="C12" s="5" t="s">
        <v>22</v>
      </c>
      <c r="D12" s="5" t="s">
        <v>23</v>
      </c>
      <c r="E12" s="5" t="s">
        <v>24</v>
      </c>
      <c r="I12" s="1" t="s">
        <v>147</v>
      </c>
      <c r="K12" s="4">
        <f t="shared" si="1"/>
        <v>33333300</v>
      </c>
    </row>
    <row r="13" spans="1:12">
      <c r="A13" s="21">
        <v>46281</v>
      </c>
      <c r="B13" s="8">
        <v>0.14166666666666666</v>
      </c>
      <c r="C13" s="5" t="s">
        <v>17</v>
      </c>
      <c r="D13" s="5" t="s">
        <v>29</v>
      </c>
      <c r="E13" s="5" t="s">
        <v>24</v>
      </c>
      <c r="I13" s="1" t="s">
        <v>148</v>
      </c>
      <c r="K13" s="4">
        <f t="shared" si="1"/>
        <v>10441650</v>
      </c>
    </row>
    <row r="14" spans="1:12">
      <c r="A14" s="21">
        <v>46289</v>
      </c>
      <c r="B14" s="8">
        <v>0.79583333333333328</v>
      </c>
      <c r="C14" s="5" t="s">
        <v>22</v>
      </c>
      <c r="D14" s="5" t="s">
        <v>29</v>
      </c>
      <c r="E14" s="5" t="s">
        <v>24</v>
      </c>
      <c r="I14" s="1" t="s">
        <v>149</v>
      </c>
      <c r="K14" s="4">
        <f t="shared" si="1"/>
        <v>8325000</v>
      </c>
    </row>
    <row r="15" spans="1:12">
      <c r="A15" s="21">
        <v>46292</v>
      </c>
      <c r="B15" s="8">
        <v>0.18333333333333332</v>
      </c>
      <c r="C15" s="5" t="s">
        <v>17</v>
      </c>
      <c r="D15" s="5" t="s">
        <v>33</v>
      </c>
      <c r="E15" s="5" t="s">
        <v>34</v>
      </c>
      <c r="I15" s="1" t="s">
        <v>150</v>
      </c>
      <c r="K15" s="4">
        <f t="shared" si="1"/>
        <v>2500000</v>
      </c>
    </row>
    <row r="16" spans="1:12">
      <c r="A16" s="21">
        <v>46295</v>
      </c>
      <c r="B16" s="8">
        <v>6.25E-2</v>
      </c>
      <c r="C16" s="5" t="s">
        <v>22</v>
      </c>
      <c r="D16" s="5" t="s">
        <v>33</v>
      </c>
      <c r="E16" s="5" t="s">
        <v>34</v>
      </c>
      <c r="I16" s="1" t="s">
        <v>116</v>
      </c>
      <c r="K16" s="4">
        <f t="shared" si="1"/>
        <v>13915000</v>
      </c>
    </row>
    <row r="17" spans="1:12">
      <c r="I17" s="1" t="s">
        <v>151</v>
      </c>
      <c r="K17" s="22" t="s">
        <v>152</v>
      </c>
    </row>
    <row r="18" spans="1:12">
      <c r="I18" s="2" t="s">
        <v>153</v>
      </c>
    </row>
    <row r="19" spans="1:12">
      <c r="A19" s="1" t="s">
        <v>42</v>
      </c>
      <c r="I19" s="1" t="s">
        <v>154</v>
      </c>
      <c r="K19" s="22" t="s">
        <v>152</v>
      </c>
    </row>
    <row r="20" spans="1:12">
      <c r="I20" s="1" t="s">
        <v>155</v>
      </c>
      <c r="L20" s="60">
        <f>SUMIF($A$23:$A$42,I20,$H$23:$H$42)</f>
        <v>130700</v>
      </c>
    </row>
    <row r="21" spans="1:12" ht="28">
      <c r="A21" s="10" t="s">
        <v>44</v>
      </c>
      <c r="B21" s="10" t="s">
        <v>45</v>
      </c>
      <c r="C21" s="10" t="s">
        <v>46</v>
      </c>
      <c r="D21" s="10" t="s">
        <v>47</v>
      </c>
      <c r="E21" s="10" t="s">
        <v>48</v>
      </c>
      <c r="F21" s="10" t="s">
        <v>49</v>
      </c>
      <c r="G21" s="10" t="s">
        <v>50</v>
      </c>
      <c r="H21" s="10" t="s">
        <v>51</v>
      </c>
    </row>
    <row r="22" spans="1:12">
      <c r="A22" s="37" t="s">
        <v>134</v>
      </c>
      <c r="B22" s="33"/>
      <c r="C22" s="33"/>
      <c r="D22" s="33"/>
      <c r="E22" s="33"/>
      <c r="F22" s="33"/>
      <c r="G22" s="33"/>
      <c r="H22" s="33"/>
    </row>
    <row r="23" spans="1:12" ht="98">
      <c r="A23" s="11" t="s">
        <v>136</v>
      </c>
      <c r="B23" s="11">
        <v>37</v>
      </c>
      <c r="C23" s="10" t="s">
        <v>156</v>
      </c>
      <c r="D23" s="10" t="s">
        <v>157</v>
      </c>
      <c r="E23" s="10" t="s">
        <v>158</v>
      </c>
      <c r="F23" s="11" t="s">
        <v>95</v>
      </c>
      <c r="G23" s="14">
        <v>2887650</v>
      </c>
      <c r="H23" s="10"/>
      <c r="L23" s="59"/>
    </row>
    <row r="24" spans="1:12" ht="70">
      <c r="A24" s="11" t="s">
        <v>139</v>
      </c>
      <c r="B24" s="11">
        <v>38</v>
      </c>
      <c r="C24" s="10" t="s">
        <v>156</v>
      </c>
      <c r="D24" s="10" t="s">
        <v>157</v>
      </c>
      <c r="E24" s="10" t="s">
        <v>159</v>
      </c>
      <c r="F24" s="11" t="s">
        <v>62</v>
      </c>
      <c r="G24" s="14">
        <v>98325</v>
      </c>
      <c r="H24" s="10"/>
    </row>
    <row r="25" spans="1:12" ht="84">
      <c r="A25" s="11" t="s">
        <v>140</v>
      </c>
      <c r="B25" s="11">
        <v>39</v>
      </c>
      <c r="C25" s="10" t="s">
        <v>160</v>
      </c>
      <c r="D25" s="10" t="s">
        <v>161</v>
      </c>
      <c r="E25" s="10" t="s">
        <v>162</v>
      </c>
      <c r="F25" s="11" t="s">
        <v>73</v>
      </c>
      <c r="G25" s="14">
        <v>19450530</v>
      </c>
      <c r="H25" s="10"/>
    </row>
    <row r="26" spans="1:12" ht="84">
      <c r="A26" s="11" t="s">
        <v>140</v>
      </c>
      <c r="B26" s="11">
        <v>40</v>
      </c>
      <c r="C26" s="10" t="s">
        <v>160</v>
      </c>
      <c r="D26" s="10" t="s">
        <v>161</v>
      </c>
      <c r="E26" s="10" t="s">
        <v>163</v>
      </c>
      <c r="F26" s="11" t="s">
        <v>73</v>
      </c>
      <c r="G26" s="14">
        <v>11516472</v>
      </c>
      <c r="H26" s="10"/>
    </row>
    <row r="27" spans="1:12" ht="84">
      <c r="A27" s="11" t="s">
        <v>43</v>
      </c>
      <c r="B27" s="11">
        <v>54</v>
      </c>
      <c r="C27" s="10" t="s">
        <v>164</v>
      </c>
      <c r="D27" s="10" t="s">
        <v>165</v>
      </c>
      <c r="E27" s="10" t="s">
        <v>166</v>
      </c>
      <c r="F27" s="11" t="s">
        <v>95</v>
      </c>
      <c r="G27" s="14">
        <v>19000000</v>
      </c>
      <c r="H27" s="10"/>
    </row>
    <row r="28" spans="1:12" ht="98">
      <c r="A28" s="11" t="s">
        <v>142</v>
      </c>
      <c r="B28" s="11">
        <v>41</v>
      </c>
      <c r="C28" s="10" t="s">
        <v>167</v>
      </c>
      <c r="D28" s="17">
        <v>46268</v>
      </c>
      <c r="E28" s="10" t="s">
        <v>168</v>
      </c>
      <c r="F28" s="11" t="s">
        <v>169</v>
      </c>
      <c r="G28" s="14">
        <v>26334000</v>
      </c>
      <c r="H28" s="10"/>
    </row>
    <row r="29" spans="1:12" ht="70">
      <c r="A29" s="11" t="s">
        <v>144</v>
      </c>
      <c r="B29" s="11">
        <v>42</v>
      </c>
      <c r="C29" s="10" t="s">
        <v>170</v>
      </c>
      <c r="D29" s="12">
        <v>46275</v>
      </c>
      <c r="E29" s="10" t="s">
        <v>171</v>
      </c>
      <c r="F29" s="11" t="s">
        <v>54</v>
      </c>
      <c r="G29" s="14">
        <v>21355290</v>
      </c>
      <c r="H29" s="10"/>
    </row>
    <row r="30" spans="1:12">
      <c r="A30" s="37" t="s">
        <v>145</v>
      </c>
      <c r="B30" s="33"/>
      <c r="C30" s="33"/>
      <c r="D30" s="33"/>
      <c r="E30" s="33"/>
      <c r="F30" s="33"/>
      <c r="G30" s="33"/>
      <c r="H30" s="33"/>
    </row>
    <row r="31" spans="1:12" ht="98">
      <c r="A31" s="11" t="s">
        <v>146</v>
      </c>
      <c r="B31" s="11">
        <v>46</v>
      </c>
      <c r="C31" s="10" t="s">
        <v>156</v>
      </c>
      <c r="D31" s="12">
        <v>46280</v>
      </c>
      <c r="E31" s="10" t="s">
        <v>172</v>
      </c>
      <c r="F31" s="11" t="s">
        <v>173</v>
      </c>
      <c r="G31" s="14">
        <v>23793000</v>
      </c>
      <c r="H31" s="10"/>
    </row>
    <row r="32" spans="1:12" ht="84">
      <c r="A32" s="11" t="s">
        <v>147</v>
      </c>
      <c r="B32" s="11">
        <v>43</v>
      </c>
      <c r="C32" s="10" t="s">
        <v>174</v>
      </c>
      <c r="D32" s="12">
        <v>46280</v>
      </c>
      <c r="E32" s="10" t="s">
        <v>175</v>
      </c>
      <c r="F32" s="11" t="s">
        <v>73</v>
      </c>
      <c r="G32" s="14">
        <v>33333300</v>
      </c>
      <c r="H32" s="10"/>
    </row>
    <row r="33" spans="1:8" ht="56">
      <c r="A33" s="11" t="s">
        <v>139</v>
      </c>
      <c r="B33" s="11">
        <v>44</v>
      </c>
      <c r="C33" s="10" t="s">
        <v>167</v>
      </c>
      <c r="D33" s="12">
        <v>46280</v>
      </c>
      <c r="E33" s="10" t="s">
        <v>176</v>
      </c>
      <c r="F33" s="11" t="s">
        <v>62</v>
      </c>
      <c r="G33" s="14">
        <v>3781525</v>
      </c>
      <c r="H33" s="10"/>
    </row>
    <row r="34" spans="1:8" ht="70">
      <c r="A34" s="11" t="s">
        <v>148</v>
      </c>
      <c r="B34" s="11">
        <v>45</v>
      </c>
      <c r="C34" s="10" t="s">
        <v>167</v>
      </c>
      <c r="D34" s="12">
        <v>46280</v>
      </c>
      <c r="E34" s="10" t="s">
        <v>177</v>
      </c>
      <c r="F34" s="11" t="s">
        <v>62</v>
      </c>
      <c r="G34" s="14">
        <v>10441650</v>
      </c>
      <c r="H34" s="10"/>
    </row>
    <row r="35" spans="1:8" ht="84">
      <c r="A35" s="11" t="s">
        <v>149</v>
      </c>
      <c r="B35" s="11">
        <v>47</v>
      </c>
      <c r="C35" s="11" t="s">
        <v>178</v>
      </c>
      <c r="D35" s="12">
        <v>46282</v>
      </c>
      <c r="E35" s="10" t="s">
        <v>179</v>
      </c>
      <c r="F35" s="11" t="s">
        <v>169</v>
      </c>
      <c r="G35" s="14">
        <v>8325000</v>
      </c>
      <c r="H35" s="11"/>
    </row>
    <row r="36" spans="1:8" ht="70">
      <c r="A36" s="11" t="s">
        <v>150</v>
      </c>
      <c r="B36" s="11">
        <v>49</v>
      </c>
      <c r="C36" s="10" t="s">
        <v>180</v>
      </c>
      <c r="D36" s="12">
        <v>46282</v>
      </c>
      <c r="E36" s="10" t="s">
        <v>181</v>
      </c>
      <c r="F36" s="11" t="s">
        <v>182</v>
      </c>
      <c r="G36" s="14">
        <v>2500000</v>
      </c>
      <c r="H36" s="11"/>
    </row>
    <row r="37" spans="1:8" ht="56">
      <c r="A37" s="11" t="s">
        <v>116</v>
      </c>
      <c r="B37" s="11" t="s">
        <v>183</v>
      </c>
      <c r="C37" s="10" t="s">
        <v>167</v>
      </c>
      <c r="D37" s="12">
        <v>46282</v>
      </c>
      <c r="E37" s="10" t="s">
        <v>184</v>
      </c>
      <c r="F37" s="11" t="s">
        <v>62</v>
      </c>
      <c r="G37" s="14">
        <v>13915000</v>
      </c>
      <c r="H37" s="10"/>
    </row>
    <row r="38" spans="1:8" ht="56">
      <c r="A38" s="11" t="s">
        <v>144</v>
      </c>
      <c r="B38" s="11">
        <v>50</v>
      </c>
      <c r="C38" s="10" t="s">
        <v>160</v>
      </c>
      <c r="D38" s="12">
        <v>46284</v>
      </c>
      <c r="E38" s="10" t="s">
        <v>185</v>
      </c>
      <c r="F38" s="11" t="s">
        <v>79</v>
      </c>
      <c r="G38" s="14">
        <v>16666650</v>
      </c>
      <c r="H38" s="10"/>
    </row>
    <row r="39" spans="1:8" ht="84">
      <c r="A39" s="11" t="s">
        <v>151</v>
      </c>
      <c r="B39" s="11" t="s">
        <v>186</v>
      </c>
      <c r="C39" s="10" t="s">
        <v>156</v>
      </c>
      <c r="D39" s="12">
        <v>46288</v>
      </c>
      <c r="E39" s="10" t="s">
        <v>187</v>
      </c>
      <c r="F39" s="11" t="s">
        <v>169</v>
      </c>
      <c r="G39" s="23" t="s">
        <v>152</v>
      </c>
      <c r="H39" s="10"/>
    </row>
    <row r="40" spans="1:8">
      <c r="A40" s="37" t="s">
        <v>153</v>
      </c>
      <c r="B40" s="33"/>
      <c r="C40" s="33"/>
      <c r="D40" s="33"/>
      <c r="E40" s="33"/>
      <c r="F40" s="33"/>
      <c r="G40" s="33"/>
      <c r="H40" s="33"/>
    </row>
    <row r="41" spans="1:8" ht="56">
      <c r="A41" s="11" t="s">
        <v>154</v>
      </c>
      <c r="B41" s="11">
        <v>52</v>
      </c>
      <c r="C41" s="10" t="s">
        <v>156</v>
      </c>
      <c r="D41" s="12">
        <v>46291</v>
      </c>
      <c r="E41" s="10" t="s">
        <v>188</v>
      </c>
      <c r="F41" s="11" t="s">
        <v>173</v>
      </c>
      <c r="G41" s="23" t="s">
        <v>152</v>
      </c>
      <c r="H41" s="10"/>
    </row>
    <row r="42" spans="1:8" ht="56">
      <c r="A42" s="11" t="s">
        <v>155</v>
      </c>
      <c r="B42" s="11">
        <v>51</v>
      </c>
      <c r="C42" s="10" t="s">
        <v>189</v>
      </c>
      <c r="D42" s="12">
        <v>46291</v>
      </c>
      <c r="E42" s="10" t="s">
        <v>190</v>
      </c>
      <c r="F42" s="11" t="s">
        <v>54</v>
      </c>
      <c r="H42" s="16">
        <v>130700</v>
      </c>
    </row>
    <row r="43" spans="1:8" ht="16">
      <c r="B43" s="18"/>
      <c r="E43" s="19"/>
    </row>
    <row r="44" spans="1:8" ht="16">
      <c r="B44" s="18"/>
      <c r="E44" s="19"/>
    </row>
    <row r="45" spans="1:8" ht="16">
      <c r="B45" s="18"/>
      <c r="E45" s="19"/>
    </row>
    <row r="46" spans="1:8" ht="16">
      <c r="B46" s="18"/>
      <c r="E46" s="19"/>
    </row>
  </sheetData>
  <mergeCells count="3">
    <mergeCell ref="A22:H22"/>
    <mergeCell ref="A30:H30"/>
    <mergeCell ref="A40:H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23"/>
  <sheetViews>
    <sheetView workbookViewId="0">
      <selection activeCell="J23" sqref="J23"/>
    </sheetView>
  </sheetViews>
  <sheetFormatPr baseColWidth="10" defaultColWidth="12.6640625" defaultRowHeight="13"/>
  <cols>
    <col min="4" max="4" width="13.6640625" customWidth="1"/>
    <col min="6" max="6" width="13.6640625" customWidth="1"/>
    <col min="9" max="9" width="21.1640625" customWidth="1"/>
  </cols>
  <sheetData>
    <row r="1" spans="1:11">
      <c r="A1" s="39" t="s">
        <v>191</v>
      </c>
    </row>
    <row r="3" spans="1:11">
      <c r="A3" s="3" t="s">
        <v>4</v>
      </c>
      <c r="B3" s="1" t="s">
        <v>192</v>
      </c>
      <c r="I3" s="2" t="s">
        <v>193</v>
      </c>
      <c r="J3" s="1" t="s">
        <v>2</v>
      </c>
      <c r="K3" s="1" t="s">
        <v>3</v>
      </c>
    </row>
    <row r="4" spans="1:11">
      <c r="A4" s="2" t="s">
        <v>7</v>
      </c>
      <c r="B4" s="1" t="s">
        <v>194</v>
      </c>
      <c r="I4" s="1" t="s">
        <v>116</v>
      </c>
      <c r="J4" s="4">
        <f>SUMIF($A$19:$A$23,I4,$G$19:$G$23)</f>
        <v>21208000</v>
      </c>
    </row>
    <row r="5" spans="1:11">
      <c r="A5" s="2"/>
      <c r="I5" s="2" t="s">
        <v>153</v>
      </c>
      <c r="J5" s="4"/>
    </row>
    <row r="6" spans="1:11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I6" s="1" t="s">
        <v>27</v>
      </c>
      <c r="J6" s="4"/>
      <c r="K6" s="6">
        <f>SUMIF($A$19:$A$23,I6,$H$19:$H$23)</f>
        <v>130700</v>
      </c>
    </row>
    <row r="7" spans="1:11">
      <c r="A7" s="7">
        <v>46295</v>
      </c>
      <c r="B7" s="8">
        <v>0.32083333333333336</v>
      </c>
      <c r="C7" s="5" t="s">
        <v>17</v>
      </c>
      <c r="D7" s="5" t="s">
        <v>141</v>
      </c>
      <c r="E7" s="5" t="s">
        <v>38</v>
      </c>
      <c r="I7" s="1" t="s">
        <v>195</v>
      </c>
      <c r="J7" s="4">
        <f>SUMIF($A$19:$A$23,I7,$G$19:$G$23)</f>
        <v>23893860</v>
      </c>
    </row>
    <row r="8" spans="1:11">
      <c r="A8" s="9" t="s">
        <v>196</v>
      </c>
      <c r="B8" s="8">
        <v>0.7583333333333333</v>
      </c>
      <c r="C8" s="5" t="s">
        <v>17</v>
      </c>
      <c r="D8" s="5" t="s">
        <v>143</v>
      </c>
      <c r="E8" s="5" t="s">
        <v>19</v>
      </c>
    </row>
    <row r="9" spans="1:11">
      <c r="A9" s="9" t="s">
        <v>197</v>
      </c>
      <c r="B9" s="8">
        <v>0.41666666666666669</v>
      </c>
      <c r="C9" s="5" t="s">
        <v>22</v>
      </c>
      <c r="D9" s="5" t="s">
        <v>143</v>
      </c>
      <c r="E9" s="5" t="s">
        <v>19</v>
      </c>
    </row>
    <row r="10" spans="1:11">
      <c r="A10" s="9" t="s">
        <v>198</v>
      </c>
      <c r="B10" s="8">
        <v>0.6875</v>
      </c>
      <c r="C10" s="5" t="s">
        <v>17</v>
      </c>
      <c r="D10" s="5" t="s">
        <v>199</v>
      </c>
      <c r="E10" s="5" t="s">
        <v>24</v>
      </c>
    </row>
    <row r="11" spans="1:11">
      <c r="A11" s="9" t="s">
        <v>200</v>
      </c>
      <c r="B11" s="8">
        <v>0.89583333333333337</v>
      </c>
      <c r="C11" s="5" t="s">
        <v>22</v>
      </c>
      <c r="D11" s="5" t="s">
        <v>199</v>
      </c>
      <c r="E11" s="5" t="s">
        <v>24</v>
      </c>
    </row>
    <row r="12" spans="1:11">
      <c r="A12" s="9" t="s">
        <v>201</v>
      </c>
      <c r="B12" s="8">
        <v>0.3125</v>
      </c>
      <c r="C12" s="5" t="s">
        <v>17</v>
      </c>
      <c r="D12" s="5" t="s">
        <v>33</v>
      </c>
      <c r="E12" s="5" t="s">
        <v>34</v>
      </c>
    </row>
    <row r="15" spans="1:11">
      <c r="A15" s="2" t="s">
        <v>42</v>
      </c>
    </row>
    <row r="17" spans="1:8" ht="28">
      <c r="A17" s="10" t="s">
        <v>44</v>
      </c>
      <c r="B17" s="10" t="s">
        <v>45</v>
      </c>
      <c r="C17" s="10" t="s">
        <v>46</v>
      </c>
      <c r="D17" s="10" t="s">
        <v>47</v>
      </c>
      <c r="E17" s="10" t="s">
        <v>48</v>
      </c>
      <c r="F17" s="10" t="s">
        <v>49</v>
      </c>
      <c r="G17" s="10" t="s">
        <v>50</v>
      </c>
      <c r="H17" s="10" t="s">
        <v>51</v>
      </c>
    </row>
    <row r="18" spans="1:8">
      <c r="A18" s="37" t="s">
        <v>193</v>
      </c>
      <c r="B18" s="33"/>
      <c r="C18" s="33"/>
      <c r="D18" s="33"/>
      <c r="E18" s="33"/>
      <c r="F18" s="33"/>
      <c r="G18" s="33"/>
      <c r="H18" s="33"/>
    </row>
    <row r="19" spans="1:8" ht="84">
      <c r="A19" s="11" t="s">
        <v>116</v>
      </c>
      <c r="B19" s="11">
        <v>58</v>
      </c>
      <c r="C19" s="10" t="s">
        <v>202</v>
      </c>
      <c r="D19" s="12">
        <v>46315</v>
      </c>
      <c r="E19" s="10" t="s">
        <v>203</v>
      </c>
      <c r="F19" s="11" t="s">
        <v>62</v>
      </c>
      <c r="G19" s="13">
        <v>12496000</v>
      </c>
      <c r="H19" s="13"/>
    </row>
    <row r="20" spans="1:8" ht="126">
      <c r="A20" s="11" t="s">
        <v>116</v>
      </c>
      <c r="B20" s="11">
        <v>57</v>
      </c>
      <c r="C20" s="10" t="s">
        <v>202</v>
      </c>
      <c r="D20" s="12">
        <v>46315</v>
      </c>
      <c r="E20" s="10" t="s">
        <v>204</v>
      </c>
      <c r="F20" s="11" t="s">
        <v>62</v>
      </c>
      <c r="G20" s="13">
        <v>8712000</v>
      </c>
      <c r="H20" s="13"/>
    </row>
    <row r="21" spans="1:8">
      <c r="A21" s="37" t="s">
        <v>153</v>
      </c>
      <c r="B21" s="33"/>
      <c r="C21" s="33"/>
      <c r="D21" s="33"/>
      <c r="E21" s="33"/>
      <c r="F21" s="33"/>
      <c r="G21" s="33"/>
      <c r="H21" s="33"/>
    </row>
    <row r="22" spans="1:8" ht="84">
      <c r="A22" s="11" t="s">
        <v>27</v>
      </c>
      <c r="B22" s="11">
        <v>55</v>
      </c>
      <c r="C22" s="10" t="s">
        <v>189</v>
      </c>
      <c r="D22" s="12">
        <v>46322</v>
      </c>
      <c r="E22" s="10" t="s">
        <v>205</v>
      </c>
      <c r="F22" s="11" t="s">
        <v>54</v>
      </c>
      <c r="H22" s="15">
        <v>130700</v>
      </c>
    </row>
    <row r="23" spans="1:8" ht="98">
      <c r="A23" s="11" t="s">
        <v>195</v>
      </c>
      <c r="B23" s="11">
        <v>61</v>
      </c>
      <c r="C23" s="10" t="s">
        <v>206</v>
      </c>
      <c r="D23" s="12">
        <v>46323</v>
      </c>
      <c r="E23" s="10" t="s">
        <v>207</v>
      </c>
      <c r="F23" s="11" t="s">
        <v>208</v>
      </c>
      <c r="G23" s="13">
        <v>23893860</v>
      </c>
      <c r="H23" s="13"/>
    </row>
  </sheetData>
  <mergeCells count="2">
    <mergeCell ref="A18:H18"/>
    <mergeCell ref="A21:H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27"/>
  <sheetViews>
    <sheetView workbookViewId="0">
      <selection activeCell="B3" sqref="B3:B4"/>
    </sheetView>
  </sheetViews>
  <sheetFormatPr baseColWidth="10" defaultColWidth="12.6640625" defaultRowHeight="13"/>
  <cols>
    <col min="1" max="1" width="11.1640625" bestFit="1" customWidth="1"/>
    <col min="2" max="2" width="15.33203125" bestFit="1" customWidth="1"/>
    <col min="4" max="4" width="8" bestFit="1" customWidth="1"/>
    <col min="6" max="6" width="9.33203125" bestFit="1" customWidth="1"/>
    <col min="7" max="7" width="13.33203125" bestFit="1" customWidth="1"/>
    <col min="8" max="8" width="10" bestFit="1" customWidth="1"/>
    <col min="9" max="9" width="20.6640625" bestFit="1" customWidth="1"/>
    <col min="11" max="11" width="13.33203125" bestFit="1" customWidth="1"/>
  </cols>
  <sheetData>
    <row r="1" spans="1:11">
      <c r="A1" s="39" t="s">
        <v>209</v>
      </c>
    </row>
    <row r="3" spans="1:11">
      <c r="A3" s="1" t="s">
        <v>4</v>
      </c>
      <c r="B3" s="1" t="s">
        <v>210</v>
      </c>
      <c r="I3" s="2" t="s">
        <v>193</v>
      </c>
      <c r="K3" s="1" t="s">
        <v>2</v>
      </c>
    </row>
    <row r="4" spans="1:11">
      <c r="A4" s="1" t="s">
        <v>7</v>
      </c>
      <c r="B4" s="1" t="s">
        <v>211</v>
      </c>
      <c r="I4" s="1" t="s">
        <v>116</v>
      </c>
      <c r="K4" s="4">
        <f>SUMIF($A$20:$A$27,I4,$G$20:$G$27)</f>
        <v>15620000</v>
      </c>
    </row>
    <row r="5" spans="1:11">
      <c r="I5" s="2" t="s">
        <v>212</v>
      </c>
      <c r="K5" s="4"/>
    </row>
    <row r="6" spans="1:11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I6" s="1" t="s">
        <v>213</v>
      </c>
      <c r="K6" s="4">
        <f>SUMIF($A$20:$A$27,I6,$G$20:$G$27)</f>
        <v>485995518</v>
      </c>
    </row>
    <row r="7" spans="1:11">
      <c r="A7" s="9" t="s">
        <v>214</v>
      </c>
      <c r="B7" s="8">
        <v>0.75</v>
      </c>
      <c r="C7" s="5" t="s">
        <v>215</v>
      </c>
      <c r="D7" s="5" t="s">
        <v>18</v>
      </c>
      <c r="E7" s="5" t="s">
        <v>19</v>
      </c>
      <c r="I7" s="2" t="s">
        <v>30</v>
      </c>
      <c r="K7" s="4"/>
    </row>
    <row r="8" spans="1:11">
      <c r="A8" s="24">
        <v>46328</v>
      </c>
      <c r="B8" s="8">
        <v>0.38333333333333336</v>
      </c>
      <c r="C8" s="5" t="s">
        <v>22</v>
      </c>
      <c r="D8" s="5" t="s">
        <v>18</v>
      </c>
      <c r="E8" s="5" t="s">
        <v>19</v>
      </c>
      <c r="I8" s="1" t="s">
        <v>150</v>
      </c>
      <c r="K8" s="4">
        <f>SUMIF($A$20:$A$27,I8,$G$20:$G$27)</f>
        <v>11385000</v>
      </c>
    </row>
    <row r="9" spans="1:11">
      <c r="A9" s="24">
        <v>46333</v>
      </c>
      <c r="B9" s="8">
        <v>0.90833333333333333</v>
      </c>
      <c r="C9" s="5" t="s">
        <v>17</v>
      </c>
      <c r="D9" s="5" t="s">
        <v>199</v>
      </c>
      <c r="E9" s="5" t="s">
        <v>24</v>
      </c>
    </row>
    <row r="10" spans="1:11">
      <c r="A10" s="24">
        <v>46335</v>
      </c>
      <c r="B10" s="8">
        <v>0.41666666666666669</v>
      </c>
      <c r="C10" s="5" t="s">
        <v>22</v>
      </c>
      <c r="D10" s="5" t="s">
        <v>199</v>
      </c>
      <c r="E10" s="5" t="s">
        <v>24</v>
      </c>
    </row>
    <row r="11" spans="1:11">
      <c r="A11" s="7">
        <v>46338</v>
      </c>
      <c r="B11" s="8">
        <v>4.1666666666666664E-2</v>
      </c>
      <c r="C11" s="5" t="s">
        <v>17</v>
      </c>
      <c r="D11" s="5" t="s">
        <v>216</v>
      </c>
      <c r="E11" s="5" t="s">
        <v>24</v>
      </c>
    </row>
    <row r="12" spans="1:11">
      <c r="A12" s="7">
        <v>46341</v>
      </c>
      <c r="B12" s="8">
        <v>0.2</v>
      </c>
      <c r="C12" s="5" t="s">
        <v>22</v>
      </c>
      <c r="D12" s="5" t="s">
        <v>216</v>
      </c>
      <c r="E12" s="5" t="s">
        <v>24</v>
      </c>
    </row>
    <row r="13" spans="1:11">
      <c r="A13" s="7">
        <v>46344</v>
      </c>
      <c r="B13" s="8">
        <v>0.48333333333333334</v>
      </c>
      <c r="C13" s="5" t="s">
        <v>17</v>
      </c>
      <c r="D13" s="5" t="s">
        <v>18</v>
      </c>
      <c r="E13" s="5" t="s">
        <v>38</v>
      </c>
    </row>
    <row r="17" spans="1:9">
      <c r="A17" s="2" t="s">
        <v>42</v>
      </c>
    </row>
    <row r="19" spans="1:9" ht="28">
      <c r="A19" s="10" t="s">
        <v>44</v>
      </c>
      <c r="B19" s="10" t="s">
        <v>45</v>
      </c>
      <c r="C19" s="10" t="s">
        <v>46</v>
      </c>
      <c r="D19" s="10" t="s">
        <v>47</v>
      </c>
      <c r="E19" s="10" t="s">
        <v>48</v>
      </c>
      <c r="F19" s="10" t="s">
        <v>49</v>
      </c>
      <c r="G19" s="10" t="s">
        <v>50</v>
      </c>
      <c r="H19" s="10" t="s">
        <v>51</v>
      </c>
    </row>
    <row r="20" spans="1:9" ht="28">
      <c r="A20" s="11" t="s">
        <v>193</v>
      </c>
      <c r="B20" s="10"/>
      <c r="C20" s="10"/>
      <c r="D20" s="10"/>
      <c r="E20" s="10"/>
      <c r="F20" s="10"/>
      <c r="G20" s="10"/>
      <c r="H20" s="10"/>
      <c r="I20" s="10"/>
    </row>
    <row r="21" spans="1:9" ht="70">
      <c r="A21" s="11" t="s">
        <v>116</v>
      </c>
      <c r="B21" s="11">
        <v>62</v>
      </c>
      <c r="C21" s="10" t="s">
        <v>202</v>
      </c>
      <c r="D21" s="17">
        <v>46332</v>
      </c>
      <c r="E21" s="10" t="s">
        <v>217</v>
      </c>
      <c r="F21" s="11" t="s">
        <v>62</v>
      </c>
      <c r="G21" s="13">
        <v>15620000</v>
      </c>
      <c r="H21" s="11"/>
    </row>
    <row r="22" spans="1:9" ht="28">
      <c r="A22" s="11" t="s">
        <v>212</v>
      </c>
      <c r="B22" s="10"/>
      <c r="C22" s="10"/>
      <c r="D22" s="10"/>
      <c r="E22" s="10"/>
      <c r="F22" s="10"/>
      <c r="G22" s="14"/>
      <c r="H22" s="10"/>
    </row>
    <row r="23" spans="1:9" ht="98">
      <c r="A23" s="11" t="s">
        <v>213</v>
      </c>
      <c r="B23" s="11" t="s">
        <v>218</v>
      </c>
      <c r="C23" s="10" t="s">
        <v>219</v>
      </c>
      <c r="D23" s="12">
        <v>46339</v>
      </c>
      <c r="E23" s="10" t="s">
        <v>220</v>
      </c>
      <c r="F23" s="11" t="s">
        <v>54</v>
      </c>
      <c r="G23" s="13">
        <v>485995518</v>
      </c>
      <c r="H23" s="10"/>
    </row>
    <row r="24" spans="1:9" ht="84">
      <c r="A24" s="11" t="s">
        <v>30</v>
      </c>
      <c r="B24" s="11">
        <v>65</v>
      </c>
      <c r="C24" s="10" t="s">
        <v>221</v>
      </c>
      <c r="D24" s="17">
        <v>46334</v>
      </c>
      <c r="E24" s="10" t="s">
        <v>222</v>
      </c>
      <c r="F24" s="11" t="s">
        <v>62</v>
      </c>
      <c r="G24" s="13">
        <v>71055900</v>
      </c>
      <c r="H24" s="10"/>
    </row>
    <row r="25" spans="1:9" ht="70">
      <c r="A25" s="11" t="s">
        <v>30</v>
      </c>
      <c r="B25" s="11">
        <v>64</v>
      </c>
      <c r="C25" s="10" t="s">
        <v>221</v>
      </c>
      <c r="D25" s="17">
        <v>46334</v>
      </c>
      <c r="E25" s="10" t="s">
        <v>223</v>
      </c>
      <c r="F25" s="11" t="s">
        <v>62</v>
      </c>
      <c r="G25" s="13">
        <v>55806912</v>
      </c>
      <c r="H25" s="10"/>
    </row>
    <row r="26" spans="1:9" ht="70">
      <c r="A26" s="11" t="s">
        <v>150</v>
      </c>
      <c r="B26" s="11">
        <v>66</v>
      </c>
      <c r="C26" s="10" t="s">
        <v>221</v>
      </c>
      <c r="D26" s="17">
        <v>46334</v>
      </c>
      <c r="E26" s="10" t="s">
        <v>224</v>
      </c>
      <c r="F26" s="11" t="s">
        <v>95</v>
      </c>
      <c r="G26" s="13">
        <v>3885000</v>
      </c>
      <c r="H26" s="10"/>
    </row>
    <row r="27" spans="1:9" ht="112">
      <c r="A27" s="11" t="s">
        <v>150</v>
      </c>
      <c r="B27" s="11" t="s">
        <v>225</v>
      </c>
      <c r="C27" s="10" t="s">
        <v>226</v>
      </c>
      <c r="D27" s="12">
        <v>46336</v>
      </c>
      <c r="E27" s="10" t="s">
        <v>227</v>
      </c>
      <c r="F27" s="11" t="s">
        <v>182</v>
      </c>
      <c r="G27" s="13">
        <v>7500000</v>
      </c>
      <c r="H27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1000"/>
  <sheetViews>
    <sheetView workbookViewId="0">
      <selection activeCell="G1" sqref="G1:G1048576"/>
    </sheetView>
  </sheetViews>
  <sheetFormatPr baseColWidth="10" defaultColWidth="12.6640625" defaultRowHeight="15.75" customHeight="1"/>
  <cols>
    <col min="3" max="3" width="21.6640625" bestFit="1" customWidth="1"/>
    <col min="4" max="4" width="11.1640625" bestFit="1" customWidth="1"/>
    <col min="7" max="7" width="2.6640625" customWidth="1"/>
    <col min="10" max="10" width="13.33203125" bestFit="1" customWidth="1"/>
    <col min="11" max="11" width="11.1640625" bestFit="1" customWidth="1"/>
    <col min="15" max="15" width="2.6640625" customWidth="1"/>
    <col min="16" max="16" width="22.33203125" bestFit="1" customWidth="1"/>
    <col min="18" max="18" width="12.33203125" bestFit="1" customWidth="1"/>
    <col min="19" max="19" width="11.1640625" bestFit="1" customWidth="1"/>
    <col min="23" max="23" width="2.6640625" customWidth="1"/>
    <col min="26" max="26" width="13.33203125" bestFit="1" customWidth="1"/>
  </cols>
  <sheetData>
    <row r="1" spans="1:29" ht="13">
      <c r="A1" s="40" t="s">
        <v>0</v>
      </c>
      <c r="B1" s="33"/>
      <c r="H1" s="38" t="str">
        <f>'Voyage 2 Singapore -&gt; Uban -&gt; T'!A1</f>
        <v>Voyage 2</v>
      </c>
      <c r="I1" s="33"/>
      <c r="J1" s="2"/>
      <c r="K1" s="2"/>
      <c r="L1" s="2"/>
      <c r="M1" s="2"/>
      <c r="N1" s="2"/>
      <c r="O1" s="2"/>
      <c r="P1" s="38" t="str">
        <f>'Voyage 3 Vopak Singapore -&gt; Bau'!A1</f>
        <v>Voyage 3</v>
      </c>
      <c r="Q1" s="33"/>
      <c r="R1" s="2"/>
      <c r="S1" s="2"/>
      <c r="T1" s="2"/>
      <c r="U1" s="2"/>
      <c r="V1" s="2"/>
      <c r="W1" s="2"/>
      <c r="X1" s="38" t="str">
        <f>'Voyage 4 Pengerang -&gt; Baubau -&gt;'!A1</f>
        <v>Voyage 4</v>
      </c>
      <c r="Y1" s="33"/>
      <c r="Z1" s="2"/>
      <c r="AA1" s="2"/>
    </row>
    <row r="2" spans="1:29" ht="15.75" customHeight="1">
      <c r="A2" s="33"/>
      <c r="B2" s="33"/>
      <c r="H2" s="38"/>
      <c r="I2" s="33"/>
      <c r="J2" s="2"/>
      <c r="K2" s="2"/>
      <c r="L2" s="2"/>
      <c r="M2" s="2"/>
      <c r="N2" s="2"/>
      <c r="O2" s="2"/>
      <c r="P2" s="38"/>
      <c r="Q2" s="33"/>
      <c r="R2" s="2"/>
      <c r="S2" s="2"/>
      <c r="T2" s="2"/>
      <c r="U2" s="2"/>
      <c r="V2" s="2"/>
      <c r="W2" s="2"/>
      <c r="X2" s="38"/>
      <c r="Y2" s="33"/>
      <c r="Z2" s="2"/>
      <c r="AA2" s="2"/>
    </row>
    <row r="3" spans="1:29" s="65" customFormat="1" ht="15.75" customHeight="1">
      <c r="A3" s="62" t="s">
        <v>4</v>
      </c>
      <c r="B3" s="63"/>
      <c r="C3" s="64" t="s">
        <v>5</v>
      </c>
      <c r="D3" s="64"/>
      <c r="E3" s="64"/>
      <c r="F3" s="64"/>
      <c r="H3" s="66" t="str">
        <f>'Voyage 2 Singapore -&gt; Uban -&gt; T'!A3</f>
        <v>Route:</v>
      </c>
      <c r="I3" s="63"/>
      <c r="J3" s="64" t="str">
        <f>'Voyage 2 Singapore -&gt; Uban -&gt; T'!B3</f>
        <v>Singapore Loading -&gt; Indonesia Discharging -&gt; Singapore Bunkering</v>
      </c>
      <c r="K3" s="64"/>
      <c r="L3" s="64"/>
      <c r="M3" s="64"/>
      <c r="N3" s="64"/>
      <c r="O3" s="64"/>
      <c r="P3" s="66" t="str">
        <f>'Voyage 3 Vopak Singapore -&gt; Bau'!A3</f>
        <v>Route:</v>
      </c>
      <c r="Q3" s="63"/>
      <c r="R3" s="64" t="str">
        <f>'Voyage 3 Vopak Singapore -&gt; Bau'!B3</f>
        <v>Singapore Loading -&gt; Sulawesi Discharging -&gt; Singapore Bunkering</v>
      </c>
      <c r="S3" s="64"/>
      <c r="T3" s="64"/>
      <c r="U3" s="64"/>
      <c r="V3" s="64"/>
      <c r="W3" s="67"/>
      <c r="X3" s="66" t="str">
        <f>'Voyage 4 Pengerang -&gt; Baubau -&gt;'!A3</f>
        <v>Route:</v>
      </c>
      <c r="Y3" s="63"/>
      <c r="Z3" s="64" t="str">
        <f>'Voyage 4 Pengerang -&gt; Baubau -&gt;'!B3</f>
        <v>Malaysia Loading -&gt; Sulawesi &amp; East Java Discharging (Milk Run)</v>
      </c>
      <c r="AA3" s="64"/>
      <c r="AB3" s="64"/>
      <c r="AC3" s="64"/>
    </row>
    <row r="4" spans="1:29" ht="15.75" customHeight="1">
      <c r="A4" s="38" t="s">
        <v>7</v>
      </c>
      <c r="B4" s="33"/>
      <c r="C4" s="1" t="s">
        <v>8</v>
      </c>
      <c r="H4" s="38" t="str">
        <f>'Voyage 2 Singapore -&gt; Uban -&gt; T'!A4</f>
        <v>Duration:</v>
      </c>
      <c r="I4" s="33"/>
      <c r="J4" s="32" t="str">
        <f>'Voyage 2 Singapore -&gt; Uban -&gt; T'!B4</f>
        <v xml:space="preserve">Sep 05 – Sep 30 (25 Days) </v>
      </c>
      <c r="K4" s="33"/>
      <c r="L4" s="33"/>
      <c r="M4" s="1"/>
      <c r="N4" s="1"/>
      <c r="O4" s="1"/>
      <c r="P4" s="38" t="str">
        <f>'Voyage 3 Vopak Singapore -&gt; Bau'!A4</f>
        <v>Duration:</v>
      </c>
      <c r="Q4" s="33"/>
      <c r="R4" s="32" t="str">
        <f>'Voyage 3 Vopak Singapore -&gt; Bau'!B4</f>
        <v>Sep 30 – Oct 30 (30 Days)</v>
      </c>
      <c r="S4" s="33"/>
      <c r="T4" s="1"/>
      <c r="U4" s="2"/>
      <c r="V4" s="2"/>
      <c r="W4" s="2"/>
      <c r="X4" s="38" t="str">
        <f>'Voyage 4 Pengerang -&gt; Baubau -&gt;'!A4</f>
        <v>Duration:</v>
      </c>
      <c r="Y4" s="33"/>
      <c r="Z4" s="32" t="str">
        <f>'Voyage 4 Pengerang -&gt; Baubau -&gt;'!B4</f>
        <v>Oct 30 – Nov 18 (19 Days)</v>
      </c>
      <c r="AA4" s="61"/>
      <c r="AB4" s="2"/>
    </row>
    <row r="5" spans="1:29" ht="15.75" customHeight="1">
      <c r="A5" s="33"/>
      <c r="B5" s="33"/>
      <c r="H5" s="38"/>
      <c r="I5" s="33"/>
      <c r="J5" s="33"/>
      <c r="K5" s="33"/>
      <c r="L5" s="33"/>
      <c r="M5" s="1"/>
      <c r="N5" s="1"/>
      <c r="O5" s="1"/>
      <c r="P5" s="38"/>
      <c r="Q5" s="33"/>
      <c r="R5" s="2"/>
      <c r="S5" s="2"/>
      <c r="T5" s="2"/>
      <c r="U5" s="2"/>
      <c r="V5" s="2"/>
      <c r="W5" s="2"/>
      <c r="X5" s="38"/>
      <c r="Y5" s="33"/>
      <c r="AA5" s="2"/>
      <c r="AB5" s="2"/>
    </row>
    <row r="6" spans="1:29" ht="15.75" customHeight="1">
      <c r="A6" s="38" t="str">
        <f>'Voyage 1 Pengerang -&gt; Uban -&gt; T'!I2</f>
        <v>Ringkasan Expense OPEX</v>
      </c>
      <c r="B6" s="33"/>
      <c r="H6" s="38" t="s">
        <v>1</v>
      </c>
      <c r="I6" s="33"/>
      <c r="J6" s="2"/>
      <c r="K6" s="2"/>
      <c r="L6" s="2"/>
      <c r="M6" s="2"/>
      <c r="N6" s="2"/>
      <c r="O6" s="2"/>
      <c r="P6" s="38" t="s">
        <v>1</v>
      </c>
      <c r="Q6" s="33"/>
      <c r="R6" s="2"/>
      <c r="S6" s="2"/>
      <c r="T6" s="2"/>
      <c r="U6" s="2"/>
      <c r="V6" s="2"/>
      <c r="W6" s="2"/>
      <c r="X6" s="38" t="s">
        <v>1</v>
      </c>
      <c r="Y6" s="33"/>
      <c r="AA6" s="2"/>
      <c r="AB6" s="2"/>
    </row>
    <row r="7" spans="1:29" ht="15.75" customHeight="1">
      <c r="A7" s="32"/>
      <c r="B7" s="33"/>
      <c r="C7" s="2" t="str">
        <f>'Voyage 1 Pengerang -&gt; Uban -&gt; T'!K2</f>
        <v>IDR</v>
      </c>
      <c r="D7" s="2" t="str">
        <f>'Voyage 1 Pengerang -&gt; Uban -&gt; T'!L2</f>
        <v>USD</v>
      </c>
      <c r="H7" s="38"/>
      <c r="I7" s="33"/>
      <c r="J7" s="2" t="str">
        <f>'Voyage 2 Singapore -&gt; Uban -&gt; T'!K3</f>
        <v>IDR</v>
      </c>
      <c r="K7" s="2" t="str">
        <f>'Voyage 2 Singapore -&gt; Uban -&gt; T'!L3</f>
        <v>USD</v>
      </c>
      <c r="L7" s="2"/>
      <c r="M7" s="2"/>
      <c r="N7" s="2"/>
      <c r="O7" s="2"/>
      <c r="R7" s="2" t="str">
        <f>'Voyage 3 Vopak Singapore -&gt; Bau'!J3</f>
        <v>IDR</v>
      </c>
      <c r="S7" s="2" t="str">
        <f>'Voyage 3 Vopak Singapore -&gt; Bau'!K3</f>
        <v>USD</v>
      </c>
      <c r="T7" s="2"/>
      <c r="U7" s="2"/>
      <c r="V7" s="2"/>
      <c r="W7" s="2"/>
      <c r="X7" s="2"/>
      <c r="Z7" s="2" t="str">
        <f>'Voyage 4 Pengerang -&gt; Baubau -&gt;'!K3</f>
        <v>IDR</v>
      </c>
      <c r="AA7" s="2"/>
      <c r="AB7" s="2"/>
    </row>
    <row r="8" spans="1:29" ht="15.75" customHeight="1">
      <c r="A8" s="38" t="str">
        <f>'Voyage 1 Pengerang -&gt; Uban -&gt; T'!I3</f>
        <v>Pre Voyage &amp; Initial Loading</v>
      </c>
      <c r="B8" s="33"/>
      <c r="C8" s="1"/>
      <c r="D8" s="1"/>
      <c r="H8" s="38" t="str">
        <f>'Voyage 2 Singapore -&gt; Uban -&gt; T'!I3</f>
        <v>Persiapan (Idle di EOPL)</v>
      </c>
      <c r="I8" s="33"/>
      <c r="L8" s="2"/>
      <c r="M8" s="2"/>
      <c r="N8" s="2"/>
      <c r="O8" s="2"/>
      <c r="P8" s="2" t="str">
        <f>'Voyage 3 Vopak Singapore -&gt; Bau'!I3</f>
        <v>Operasional (Baubau)</v>
      </c>
      <c r="Q8" s="2"/>
      <c r="S8" s="1"/>
      <c r="U8" s="2"/>
      <c r="V8" s="2"/>
      <c r="W8" s="2"/>
      <c r="X8" s="2" t="str">
        <f>'Voyage 4 Pengerang -&gt; Baubau -&gt;'!I3</f>
        <v>Operasional (Baubau)</v>
      </c>
      <c r="AA8" s="2"/>
    </row>
    <row r="9" spans="1:29" ht="15.75" customHeight="1">
      <c r="A9" s="32" t="str">
        <f>'Voyage 1 Pengerang -&gt; Uban -&gt; T'!I4</f>
        <v>Legalitas &amp; Survey</v>
      </c>
      <c r="B9" s="61"/>
      <c r="C9" s="4">
        <f>'Voyage 1 Pengerang -&gt; Uban -&gt; T'!K4</f>
        <v>299110168</v>
      </c>
      <c r="D9" s="1"/>
      <c r="H9" s="32" t="str">
        <f>'Voyage 2 Singapore -&gt; Uban -&gt; T'!I4</f>
        <v>Admin &amp; Ops</v>
      </c>
      <c r="I9" s="61"/>
      <c r="J9" s="4">
        <f>'Voyage 2 Singapore -&gt; Uban -&gt; T'!K4</f>
        <v>2887650</v>
      </c>
      <c r="K9" s="1"/>
      <c r="L9" s="2"/>
      <c r="M9" s="2"/>
      <c r="N9" s="2"/>
      <c r="O9" s="2"/>
      <c r="P9" s="2" t="str">
        <f>'Voyage 3 Vopak Singapore -&gt; Bau'!I4</f>
        <v>Fresh Water</v>
      </c>
      <c r="Q9" s="2"/>
      <c r="R9" s="4">
        <f>'Voyage 3 Vopak Singapore -&gt; Bau'!J4</f>
        <v>21208000</v>
      </c>
      <c r="S9" s="1"/>
      <c r="T9" s="2"/>
      <c r="U9" s="2"/>
      <c r="V9" s="2"/>
      <c r="W9" s="2"/>
      <c r="X9" s="1" t="str">
        <f>'Voyage 4 Pengerang -&gt; Baubau -&gt;'!I4</f>
        <v>Fresh Water</v>
      </c>
      <c r="Y9" s="68"/>
      <c r="Z9" s="4">
        <f>'Voyage 4 Pengerang -&gt; Baubau -&gt;'!K4</f>
        <v>15620000</v>
      </c>
      <c r="AA9" s="2"/>
    </row>
    <row r="10" spans="1:29" ht="15.75" customHeight="1">
      <c r="A10" s="32" t="str">
        <f>'Voyage 1 Pengerang -&gt; Uban -&gt; T'!I5</f>
        <v>Repairs (Perbaikan)</v>
      </c>
      <c r="B10" s="61"/>
      <c r="C10" s="4">
        <f>'Voyage 1 Pengerang -&gt; Uban -&gt; T'!K5</f>
        <v>734192820</v>
      </c>
      <c r="D10" s="6"/>
      <c r="H10" s="32" t="str">
        <f>'Voyage 2 Singapore -&gt; Uban -&gt; T'!I5</f>
        <v>Navigasi</v>
      </c>
      <c r="I10" s="61"/>
      <c r="J10" s="4">
        <f>'Voyage 2 Singapore -&gt; Uban -&gt; T'!K5</f>
        <v>3879850</v>
      </c>
      <c r="K10" s="1"/>
      <c r="L10" s="2"/>
      <c r="M10" s="2"/>
      <c r="N10" s="2"/>
      <c r="O10" s="2"/>
      <c r="R10" s="4"/>
      <c r="S10" s="1"/>
      <c r="T10" s="2"/>
      <c r="U10" s="2"/>
      <c r="V10" s="2"/>
      <c r="W10" s="2"/>
      <c r="AA10" s="2"/>
    </row>
    <row r="11" spans="1:29" ht="15.75" customHeight="1">
      <c r="A11" s="32" t="str">
        <f>'Voyage 1 Pengerang -&gt; Uban -&gt; T'!I6</f>
        <v>Safety &amp; Deck</v>
      </c>
      <c r="B11" s="61"/>
      <c r="C11" s="4">
        <f>'Voyage 1 Pengerang -&gt; Uban -&gt; T'!K6</f>
        <v>399868686</v>
      </c>
      <c r="D11" s="6"/>
      <c r="H11" s="32" t="str">
        <f>'Voyage 2 Singapore -&gt; Uban -&gt; T'!I6</f>
        <v>Safety (LSA)</v>
      </c>
      <c r="I11" s="61"/>
      <c r="J11" s="4">
        <f>'Voyage 2 Singapore -&gt; Uban -&gt; T'!K6</f>
        <v>30967002</v>
      </c>
      <c r="K11" s="1"/>
      <c r="L11" s="2"/>
      <c r="M11" s="2"/>
      <c r="N11" s="2"/>
      <c r="O11" s="2"/>
      <c r="P11" s="2" t="str">
        <f>'Voyage 3 Vopak Singapore -&gt; Bau'!I5</f>
        <v>Akhir Voyage (Singapore)</v>
      </c>
      <c r="Q11" s="2"/>
      <c r="T11" s="2"/>
      <c r="U11" s="2"/>
      <c r="V11" s="2"/>
      <c r="W11" s="2"/>
      <c r="X11" s="2" t="str">
        <f>'Voyage 4 Pengerang -&gt; Baubau -&gt;'!I5</f>
        <v>Operasional (Surabaya)</v>
      </c>
      <c r="Z11" s="4">
        <f>'Voyage 4 Pengerang -&gt; Baubau -&gt;'!K5</f>
        <v>0</v>
      </c>
      <c r="AA11" s="2"/>
    </row>
    <row r="12" spans="1:29" ht="15.75" customHeight="1">
      <c r="A12" s="32" t="str">
        <f>'Voyage 1 Pengerang -&gt; Uban -&gt; T'!I7</f>
        <v>IT &amp; Navigasi</v>
      </c>
      <c r="B12" s="61"/>
      <c r="C12" s="4">
        <f>'Voyage 1 Pengerang -&gt; Uban -&gt; T'!K7</f>
        <v>191307929</v>
      </c>
      <c r="D12" s="6"/>
      <c r="H12" s="32" t="str">
        <f>'Voyage 2 Singapore -&gt; Uban -&gt; T'!I7</f>
        <v>Komunikasi</v>
      </c>
      <c r="I12" s="61"/>
      <c r="J12" s="4">
        <f>'Voyage 2 Singapore -&gt; Uban -&gt; T'!K7</f>
        <v>19000000</v>
      </c>
      <c r="K12" s="1"/>
      <c r="L12" s="2"/>
      <c r="M12" s="2"/>
      <c r="N12" s="2"/>
      <c r="O12" s="2"/>
      <c r="P12" s="2" t="str">
        <f>'Voyage 3 Vopak Singapore -&gt; Bau'!I6</f>
        <v>Bunker (BBM)</v>
      </c>
      <c r="Q12" s="2"/>
      <c r="R12" s="4"/>
      <c r="S12" s="6">
        <f>'Voyage 3 Vopak Singapore -&gt; Bau'!K6</f>
        <v>130700</v>
      </c>
      <c r="T12" s="2"/>
      <c r="U12" s="2"/>
      <c r="V12" s="2"/>
      <c r="X12" s="1" t="str">
        <f>'Voyage 4 Pengerang -&gt; Baubau -&gt;'!I6</f>
        <v>Lube Oil</v>
      </c>
      <c r="Y12" s="68"/>
      <c r="Z12" s="4">
        <f>'Voyage 4 Pengerang -&gt; Baubau -&gt;'!K6</f>
        <v>485995518</v>
      </c>
    </row>
    <row r="13" spans="1:29" ht="15.75" customHeight="1">
      <c r="A13" s="38"/>
      <c r="B13" s="33"/>
      <c r="C13" s="1"/>
      <c r="D13" s="6"/>
      <c r="H13" s="32" t="str">
        <f>'Voyage 2 Singapore -&gt; Uban -&gt; T'!I8</f>
        <v>Repair (Deck)</v>
      </c>
      <c r="I13" s="61"/>
      <c r="J13" s="4">
        <f>'Voyage 2 Singapore -&gt; Uban -&gt; T'!K8</f>
        <v>26334000</v>
      </c>
      <c r="K13" s="1"/>
      <c r="L13" s="2"/>
      <c r="M13" s="2"/>
      <c r="N13" s="2"/>
      <c r="O13" s="2"/>
      <c r="P13" s="38" t="str">
        <f>'Voyage 3 Vopak Singapore -&gt; Bau'!I7</f>
        <v>Maintenance (Deck)</v>
      </c>
      <c r="Q13" s="33"/>
      <c r="R13" s="4">
        <f>'Voyage 3 Vopak Singapore -&gt; Bau'!J7</f>
        <v>23893860</v>
      </c>
      <c r="S13" s="1"/>
      <c r="U13" s="2"/>
      <c r="V13" s="2"/>
    </row>
    <row r="14" spans="1:29" ht="15.75" customHeight="1">
      <c r="A14" s="38" t="str">
        <f>'Voyage 1 Pengerang -&gt; Uban -&gt; T'!I9</f>
        <v>Logistik Awal (Initial Supply)</v>
      </c>
      <c r="B14" s="33"/>
      <c r="C14" s="4"/>
      <c r="D14" s="6"/>
      <c r="H14" s="32" t="str">
        <f>'Voyage 2 Singapore -&gt; Uban -&gt; T'!I9</f>
        <v>Deck Store</v>
      </c>
      <c r="I14" s="61"/>
      <c r="J14" s="4">
        <f>'Voyage 2 Singapore -&gt; Uban -&gt; T'!K9</f>
        <v>38021940</v>
      </c>
      <c r="K14" s="1"/>
      <c r="L14" s="2"/>
      <c r="M14" s="2"/>
      <c r="N14" s="2"/>
      <c r="O14" s="2"/>
      <c r="U14" s="2"/>
      <c r="V14" s="2"/>
      <c r="X14" s="2" t="str">
        <f>'Voyage 4 Pengerang -&gt; Baubau -&gt;'!I7</f>
        <v>Provision (Makanan)</v>
      </c>
      <c r="Z14" s="4">
        <f>'Voyage 4 Pengerang -&gt; Baubau -&gt;'!K7</f>
        <v>0</v>
      </c>
    </row>
    <row r="15" spans="1:29" ht="15.75" customHeight="1">
      <c r="A15" s="32" t="str">
        <f>'Voyage 1 Pengerang -&gt; Uban -&gt; T'!I10</f>
        <v>Bunker (BBM)</v>
      </c>
      <c r="B15" s="61"/>
      <c r="C15" s="4"/>
      <c r="D15" s="6">
        <f>'Voyage 1 Pengerang -&gt; Uban -&gt; T'!L10</f>
        <v>370890</v>
      </c>
      <c r="H15" s="33"/>
      <c r="I15" s="33"/>
      <c r="L15" s="2"/>
      <c r="M15" s="2"/>
      <c r="N15" s="2"/>
      <c r="O15" s="2"/>
      <c r="P15" s="38"/>
      <c r="Q15" s="33"/>
      <c r="U15" s="2"/>
      <c r="V15" s="2"/>
      <c r="X15" s="32" t="str">
        <f>'Voyage 4 Pengerang -&gt; Baubau -&gt;'!I8</f>
        <v>Logistik</v>
      </c>
      <c r="Y15" s="61"/>
      <c r="Z15" s="4">
        <f>'Voyage 4 Pengerang -&gt; Baubau -&gt;'!K8</f>
        <v>11385000</v>
      </c>
    </row>
    <row r="16" spans="1:29" ht="15.75" customHeight="1">
      <c r="A16" s="32" t="str">
        <f>'Voyage 1 Pengerang -&gt; Uban -&gt; T'!I11</f>
        <v>Provision (Makanan)</v>
      </c>
      <c r="B16" s="61"/>
      <c r="C16" s="4">
        <f>'Voyage 1 Pengerang -&gt; Uban -&gt; T'!K11</f>
        <v>258595682</v>
      </c>
      <c r="D16" s="6"/>
      <c r="H16" s="38" t="str">
        <f>'Voyage 2 Singapore -&gt; Uban -&gt; T'!I10</f>
        <v>Operasional (Tg. Priok)</v>
      </c>
      <c r="I16" s="33"/>
      <c r="J16" s="4"/>
      <c r="K16" s="1"/>
      <c r="L16" s="2"/>
      <c r="M16" s="2"/>
      <c r="N16" s="2"/>
      <c r="O16" s="2"/>
      <c r="P16" s="38"/>
      <c r="Q16" s="33"/>
      <c r="U16" s="2"/>
      <c r="V16" s="2"/>
    </row>
    <row r="17" spans="1:27" ht="15.75" customHeight="1">
      <c r="A17" s="38"/>
      <c r="B17" s="33"/>
      <c r="C17" s="4"/>
      <c r="D17" s="6"/>
      <c r="H17" s="32" t="str">
        <f>'Voyage 2 Singapore -&gt; Uban -&gt; T'!I11</f>
        <v>Maintenance</v>
      </c>
      <c r="I17" s="61"/>
      <c r="J17" s="4">
        <f>'Voyage 2 Singapore -&gt; Uban -&gt; T'!K11</f>
        <v>23793000</v>
      </c>
      <c r="K17" s="1"/>
      <c r="L17" s="2"/>
      <c r="M17" s="2"/>
      <c r="N17" s="2"/>
      <c r="P17" s="33"/>
      <c r="Q17" s="33"/>
      <c r="X17" s="33"/>
      <c r="Y17" s="33"/>
    </row>
    <row r="18" spans="1:27" ht="15.75" customHeight="1">
      <c r="A18" s="38" t="str">
        <f>'Voyage 1 Pengerang -&gt; Uban -&gt; T'!I13</f>
        <v>Operasional Akhir Voyage (Singapore Call &amp; Late Aug)</v>
      </c>
      <c r="B18" s="33"/>
      <c r="C18" s="4"/>
      <c r="D18" s="6"/>
      <c r="H18" s="32" t="str">
        <f>'Voyage 2 Singapore -&gt; Uban -&gt; T'!I12</f>
        <v>Safety (PPE)</v>
      </c>
      <c r="I18" s="61"/>
      <c r="J18" s="4">
        <f>'Voyage 2 Singapore -&gt; Uban -&gt; T'!K12</f>
        <v>33333300</v>
      </c>
      <c r="K18" s="1"/>
      <c r="P18" s="33"/>
      <c r="Q18" s="33"/>
      <c r="X18" s="33"/>
      <c r="Y18" s="33"/>
    </row>
    <row r="19" spans="1:27" ht="15.75" customHeight="1">
      <c r="A19" s="32" t="str">
        <f>'Voyage 1 Pengerang -&gt; Uban -&gt; T'!I14</f>
        <v>Navigasi &amp; Service</v>
      </c>
      <c r="B19" s="61"/>
      <c r="C19" s="4"/>
      <c r="D19" s="6">
        <f>'Voyage 1 Pengerang -&gt; Uban -&gt; T'!L14</f>
        <v>2017</v>
      </c>
      <c r="H19" s="32" t="str">
        <f>'Voyage 2 Singapore -&gt; Uban -&gt; T'!I13</f>
        <v>Admin</v>
      </c>
      <c r="I19" s="61"/>
      <c r="J19" s="4">
        <f>'Voyage 2 Singapore -&gt; Uban -&gt; T'!K13</f>
        <v>10441650</v>
      </c>
      <c r="K19" s="1"/>
      <c r="P19" s="33"/>
      <c r="Q19" s="33"/>
      <c r="X19" s="33"/>
      <c r="Y19" s="33"/>
    </row>
    <row r="20" spans="1:27" ht="15.75" customHeight="1">
      <c r="A20" s="32" t="str">
        <f>'Voyage 1 Pengerang -&gt; Uban -&gt; T'!I15</f>
        <v>Logistik &amp; Transport</v>
      </c>
      <c r="B20" s="61"/>
      <c r="C20" s="4">
        <f>'Voyage 1 Pengerang -&gt; Uban -&gt; T'!K15</f>
        <v>104395860</v>
      </c>
      <c r="D20" s="6"/>
      <c r="H20" s="32" t="str">
        <f>'Voyage 2 Singapore -&gt; Uban -&gt; T'!I14</f>
        <v>Engine Service</v>
      </c>
      <c r="I20" s="61"/>
      <c r="J20" s="4">
        <f>'Voyage 2 Singapore -&gt; Uban -&gt; T'!K14</f>
        <v>8325000</v>
      </c>
      <c r="K20" s="1"/>
      <c r="P20" s="33"/>
      <c r="Q20" s="33"/>
      <c r="X20" s="33"/>
      <c r="Y20" s="33"/>
    </row>
    <row r="21" spans="1:27" ht="15.75" customHeight="1">
      <c r="A21" s="32" t="str">
        <f>'Voyage 1 Pengerang -&gt; Uban -&gt; T'!I16</f>
        <v>Crew Welfare</v>
      </c>
      <c r="B21" s="61"/>
      <c r="C21" s="4">
        <f>'Voyage 1 Pengerang -&gt; Uban -&gt; T'!K16</f>
        <v>3336000</v>
      </c>
      <c r="D21" s="6"/>
      <c r="H21" s="32" t="str">
        <f>'Voyage 2 Singapore -&gt; Uban -&gt; T'!I15</f>
        <v>Logistik</v>
      </c>
      <c r="I21" s="61"/>
      <c r="J21" s="4">
        <f>'Voyage 2 Singapore -&gt; Uban -&gt; T'!K15</f>
        <v>2500000</v>
      </c>
      <c r="K21" s="1"/>
      <c r="P21" s="38"/>
      <c r="Q21" s="33"/>
      <c r="R21" s="2"/>
      <c r="S21" s="2"/>
      <c r="T21" s="2"/>
      <c r="X21" s="33"/>
      <c r="Y21" s="33"/>
    </row>
    <row r="22" spans="1:27" ht="15.75" customHeight="1">
      <c r="A22" s="32" t="str">
        <f>'Voyage 1 Pengerang -&gt; Uban -&gt; T'!I17</f>
        <v>Komunikasi</v>
      </c>
      <c r="B22" s="61"/>
      <c r="C22" s="4">
        <f>'Voyage 1 Pengerang -&gt; Uban -&gt; T'!K17</f>
        <v>19000000</v>
      </c>
      <c r="D22" s="6"/>
      <c r="H22" s="32" t="str">
        <f>'Voyage 2 Singapore -&gt; Uban -&gt; T'!I16</f>
        <v>Fresh Water</v>
      </c>
      <c r="I22" s="61"/>
      <c r="J22" s="4">
        <f>'Voyage 2 Singapore -&gt; Uban -&gt; T'!K16</f>
        <v>13915000</v>
      </c>
      <c r="K22" s="1"/>
      <c r="P22" s="38"/>
      <c r="Q22" s="33"/>
      <c r="R22" s="2"/>
      <c r="S22" s="2"/>
      <c r="T22" s="2"/>
      <c r="X22" s="33"/>
      <c r="Y22" s="33"/>
    </row>
    <row r="23" spans="1:27" ht="15.75" customHeight="1">
      <c r="A23" s="61"/>
      <c r="B23" s="61"/>
      <c r="H23" s="32" t="str">
        <f>'Voyage 2 Singapore -&gt; Uban -&gt; T'!I17</f>
        <v>Engine Spare</v>
      </c>
      <c r="I23" s="61"/>
      <c r="J23" s="1" t="str">
        <f>'Voyage 2 Singapore -&gt; Uban -&gt; T'!K17</f>
        <v>Belum ada total</v>
      </c>
      <c r="K23" s="1"/>
      <c r="P23" s="33"/>
      <c r="Q23" s="33"/>
      <c r="X23" s="33"/>
      <c r="Y23" s="33"/>
    </row>
    <row r="24" spans="1:27" ht="15.75" customHeight="1">
      <c r="A24" s="33"/>
      <c r="B24" s="33"/>
      <c r="H24" s="33"/>
      <c r="I24" s="33"/>
      <c r="P24" s="33"/>
      <c r="Q24" s="33"/>
      <c r="X24" s="33"/>
      <c r="Y24" s="33"/>
    </row>
    <row r="25" spans="1:27" ht="15.75" customHeight="1">
      <c r="A25" s="33"/>
      <c r="B25" s="33"/>
      <c r="H25" s="38" t="str">
        <f>'Voyage 2 Singapore -&gt; Uban -&gt; T'!I18</f>
        <v>Akhir Voyage (Singapore)</v>
      </c>
      <c r="I25" s="33"/>
      <c r="J25" s="1"/>
      <c r="K25" s="1"/>
      <c r="P25" s="33"/>
      <c r="Q25" s="33"/>
      <c r="X25" s="33"/>
      <c r="Y25" s="33"/>
    </row>
    <row r="26" spans="1:27" ht="15.75" customHeight="1">
      <c r="A26" s="33"/>
      <c r="B26" s="33"/>
      <c r="H26" s="32" t="str">
        <f>'Voyage 2 Singapore -&gt; Uban -&gt; T'!I19</f>
        <v>Running Store</v>
      </c>
      <c r="I26" s="61"/>
      <c r="J26" s="1" t="str">
        <f>'Voyage 2 Singapore -&gt; Uban -&gt; T'!K19</f>
        <v>Belum ada total</v>
      </c>
      <c r="K26" s="1"/>
      <c r="P26" s="33"/>
      <c r="Q26" s="33"/>
      <c r="X26" s="33"/>
      <c r="Y26" s="33"/>
    </row>
    <row r="27" spans="1:27" ht="15.75" customHeight="1">
      <c r="A27" s="33"/>
      <c r="B27" s="33"/>
      <c r="H27" s="32" t="str">
        <f>'Voyage 2 Singapore -&gt; Uban -&gt; T'!I20</f>
        <v>Bunker</v>
      </c>
      <c r="I27" s="61"/>
      <c r="J27" s="1"/>
      <c r="K27" s="6">
        <f>'Voyage 2 Singapore -&gt; Uban -&gt; T'!L20</f>
        <v>130700</v>
      </c>
      <c r="P27" s="33"/>
      <c r="Q27" s="33"/>
      <c r="X27" s="33"/>
      <c r="Y27" s="33"/>
    </row>
    <row r="28" spans="1:27" ht="15.75" customHeight="1">
      <c r="A28" s="33"/>
      <c r="B28" s="33"/>
      <c r="H28" s="33"/>
      <c r="I28" s="33"/>
      <c r="P28" s="33"/>
      <c r="Q28" s="33"/>
      <c r="X28" s="33"/>
      <c r="Y28" s="33"/>
    </row>
    <row r="29" spans="1:27" ht="15.75" customHeight="1">
      <c r="A29" s="38" t="s">
        <v>228</v>
      </c>
      <c r="B29" s="33"/>
      <c r="C29" s="4">
        <f>SUM(C9:C22)</f>
        <v>2009807145</v>
      </c>
      <c r="D29" s="6">
        <f>SUM(D7:D22)</f>
        <v>372907</v>
      </c>
      <c r="H29" s="38" t="s">
        <v>228</v>
      </c>
      <c r="I29" s="33"/>
      <c r="J29" s="4">
        <f>SUM(J9:J27)</f>
        <v>213398392</v>
      </c>
      <c r="K29" s="6">
        <f>SUM(K8:K27)</f>
        <v>130700</v>
      </c>
      <c r="P29" s="38" t="s">
        <v>228</v>
      </c>
      <c r="Q29" s="33"/>
      <c r="R29" s="4">
        <f>SUM(R8:R27)</f>
        <v>45101860</v>
      </c>
      <c r="S29" s="6">
        <f>SUM(S7:S27)</f>
        <v>130700</v>
      </c>
      <c r="X29" s="38" t="s">
        <v>228</v>
      </c>
      <c r="Y29" s="33"/>
      <c r="Z29" s="4">
        <f>SUM(Z8:Z27)</f>
        <v>513000518</v>
      </c>
      <c r="AA29" s="6"/>
    </row>
    <row r="30" spans="1:27" ht="15.75" customHeight="1">
      <c r="A30" s="33"/>
      <c r="B30" s="33"/>
      <c r="H30" s="33"/>
      <c r="I30" s="33"/>
      <c r="P30" s="33"/>
      <c r="Q30" s="33"/>
      <c r="X30" s="33"/>
      <c r="Y30" s="33"/>
    </row>
    <row r="31" spans="1:27" ht="15.75" customHeight="1">
      <c r="A31" s="33"/>
      <c r="B31" s="33"/>
      <c r="H31" s="33"/>
      <c r="I31" s="33"/>
      <c r="P31" s="33"/>
      <c r="Q31" s="33"/>
      <c r="X31" s="33"/>
      <c r="Y31" s="33"/>
    </row>
    <row r="32" spans="1:27" ht="15.75" customHeight="1">
      <c r="A32" s="33"/>
      <c r="B32" s="33"/>
      <c r="H32" s="33"/>
      <c r="I32" s="33"/>
      <c r="P32" s="33"/>
      <c r="Q32" s="33"/>
      <c r="X32" s="33"/>
      <c r="Y32" s="33"/>
    </row>
    <row r="33" spans="1:25" ht="15.75" customHeight="1">
      <c r="A33" s="33"/>
      <c r="B33" s="33"/>
      <c r="H33" s="33"/>
      <c r="I33" s="33"/>
      <c r="P33" s="33"/>
      <c r="Q33" s="33"/>
      <c r="X33" s="33"/>
      <c r="Y33" s="33"/>
    </row>
    <row r="34" spans="1:25" ht="15.75" customHeight="1">
      <c r="A34" s="33"/>
      <c r="B34" s="33"/>
      <c r="H34" s="33"/>
      <c r="I34" s="33"/>
      <c r="P34" s="33"/>
      <c r="Q34" s="33"/>
      <c r="X34" s="33"/>
      <c r="Y34" s="33"/>
    </row>
    <row r="35" spans="1:25" ht="15.75" customHeight="1">
      <c r="A35" s="33"/>
      <c r="B35" s="33"/>
      <c r="H35" s="33"/>
      <c r="I35" s="33"/>
      <c r="P35" s="33"/>
      <c r="Q35" s="33"/>
      <c r="X35" s="33"/>
      <c r="Y35" s="33"/>
    </row>
    <row r="36" spans="1:25" ht="15.75" customHeight="1">
      <c r="A36" s="33"/>
      <c r="B36" s="33"/>
      <c r="H36" s="33"/>
      <c r="I36" s="33"/>
      <c r="P36" s="33"/>
      <c r="Q36" s="33"/>
      <c r="X36" s="33"/>
      <c r="Y36" s="33"/>
    </row>
    <row r="37" spans="1:25" ht="15.75" customHeight="1">
      <c r="A37" s="33"/>
      <c r="B37" s="33"/>
      <c r="H37" s="33"/>
      <c r="I37" s="33"/>
      <c r="P37" s="33"/>
      <c r="Q37" s="33"/>
      <c r="X37" s="33"/>
      <c r="Y37" s="33"/>
    </row>
    <row r="38" spans="1:25" ht="15.75" customHeight="1">
      <c r="A38" s="33"/>
      <c r="B38" s="33"/>
      <c r="H38" s="33"/>
      <c r="I38" s="33"/>
      <c r="P38" s="33"/>
      <c r="Q38" s="33"/>
      <c r="X38" s="33"/>
      <c r="Y38" s="33"/>
    </row>
    <row r="39" spans="1:25" ht="15.75" customHeight="1">
      <c r="A39" s="33"/>
      <c r="B39" s="33"/>
      <c r="H39" s="33"/>
      <c r="I39" s="33"/>
      <c r="P39" s="33"/>
      <c r="Q39" s="33"/>
      <c r="X39" s="33"/>
      <c r="Y39" s="33"/>
    </row>
    <row r="40" spans="1:25" ht="15.75" customHeight="1">
      <c r="A40" s="33"/>
      <c r="B40" s="33"/>
      <c r="H40" s="33"/>
      <c r="I40" s="33"/>
      <c r="P40" s="33"/>
      <c r="Q40" s="33"/>
      <c r="X40" s="33"/>
      <c r="Y40" s="33"/>
    </row>
    <row r="41" spans="1:25" ht="15.75" customHeight="1">
      <c r="A41" s="33"/>
      <c r="B41" s="33"/>
      <c r="H41" s="33"/>
      <c r="I41" s="33"/>
      <c r="P41" s="33"/>
      <c r="Q41" s="33"/>
      <c r="X41" s="33"/>
      <c r="Y41" s="33"/>
    </row>
    <row r="42" spans="1:25" ht="15.75" customHeight="1">
      <c r="A42" s="33"/>
      <c r="B42" s="33"/>
      <c r="H42" s="33"/>
      <c r="I42" s="33"/>
      <c r="P42" s="33"/>
      <c r="Q42" s="33"/>
      <c r="X42" s="33"/>
      <c r="Y42" s="33"/>
    </row>
    <row r="43" spans="1:25" ht="15.75" customHeight="1">
      <c r="A43" s="33"/>
      <c r="B43" s="33"/>
      <c r="H43" s="33"/>
      <c r="I43" s="33"/>
      <c r="P43" s="33"/>
      <c r="Q43" s="33"/>
      <c r="X43" s="33"/>
      <c r="Y43" s="33"/>
    </row>
    <row r="44" spans="1:25" ht="15.75" customHeight="1">
      <c r="A44" s="33"/>
      <c r="B44" s="33"/>
      <c r="H44" s="33"/>
      <c r="I44" s="33"/>
      <c r="P44" s="33"/>
      <c r="Q44" s="33"/>
      <c r="X44" s="33"/>
      <c r="Y44" s="33"/>
    </row>
    <row r="45" spans="1:25" ht="15.75" customHeight="1">
      <c r="A45" s="33"/>
      <c r="B45" s="33"/>
      <c r="H45" s="33"/>
      <c r="I45" s="33"/>
      <c r="P45" s="33"/>
      <c r="Q45" s="33"/>
      <c r="X45" s="33"/>
      <c r="Y45" s="33"/>
    </row>
    <row r="46" spans="1:25" ht="15.75" customHeight="1">
      <c r="A46" s="33"/>
      <c r="B46" s="33"/>
      <c r="H46" s="33"/>
      <c r="I46" s="33"/>
      <c r="P46" s="33"/>
      <c r="Q46" s="33"/>
      <c r="X46" s="33"/>
      <c r="Y46" s="33"/>
    </row>
    <row r="47" spans="1:25" ht="15.75" customHeight="1">
      <c r="A47" s="33"/>
      <c r="B47" s="33"/>
      <c r="H47" s="33"/>
      <c r="I47" s="33"/>
      <c r="P47" s="33"/>
      <c r="Q47" s="33"/>
      <c r="X47" s="33"/>
      <c r="Y47" s="33"/>
    </row>
    <row r="48" spans="1:25" ht="15.75" customHeight="1">
      <c r="A48" s="33"/>
      <c r="B48" s="33"/>
      <c r="H48" s="33"/>
      <c r="I48" s="33"/>
      <c r="P48" s="33"/>
      <c r="Q48" s="33"/>
      <c r="X48" s="33"/>
      <c r="Y48" s="33"/>
    </row>
    <row r="49" spans="1:25" ht="15.75" customHeight="1">
      <c r="A49" s="33"/>
      <c r="B49" s="33"/>
      <c r="H49" s="33"/>
      <c r="I49" s="33"/>
      <c r="P49" s="33"/>
      <c r="Q49" s="33"/>
      <c r="X49" s="33"/>
      <c r="Y49" s="33"/>
    </row>
    <row r="50" spans="1:25" ht="15.75" customHeight="1">
      <c r="A50" s="33"/>
      <c r="B50" s="33"/>
      <c r="H50" s="33"/>
      <c r="I50" s="33"/>
      <c r="P50" s="33"/>
      <c r="Q50" s="33"/>
      <c r="X50" s="33"/>
      <c r="Y50" s="33"/>
    </row>
    <row r="51" spans="1:25" ht="15.75" customHeight="1">
      <c r="A51" s="33"/>
      <c r="B51" s="33"/>
      <c r="H51" s="33"/>
      <c r="I51" s="33"/>
      <c r="P51" s="33"/>
      <c r="Q51" s="33"/>
      <c r="X51" s="33"/>
      <c r="Y51" s="33"/>
    </row>
    <row r="52" spans="1:25" ht="15.75" customHeight="1">
      <c r="A52" s="33"/>
      <c r="B52" s="33"/>
      <c r="H52" s="33"/>
      <c r="I52" s="33"/>
      <c r="P52" s="33"/>
      <c r="Q52" s="33"/>
      <c r="X52" s="33"/>
      <c r="Y52" s="33"/>
    </row>
    <row r="53" spans="1:25" ht="15.75" customHeight="1">
      <c r="A53" s="33"/>
      <c r="B53" s="33"/>
      <c r="H53" s="33"/>
      <c r="I53" s="33"/>
      <c r="P53" s="33"/>
      <c r="Q53" s="33"/>
      <c r="X53" s="33"/>
      <c r="Y53" s="33"/>
    </row>
    <row r="54" spans="1:25" ht="15.75" customHeight="1">
      <c r="A54" s="33"/>
      <c r="B54" s="33"/>
      <c r="H54" s="33"/>
      <c r="I54" s="33"/>
      <c r="P54" s="33"/>
      <c r="Q54" s="33"/>
      <c r="X54" s="33"/>
      <c r="Y54" s="33"/>
    </row>
    <row r="55" spans="1:25" ht="15.75" customHeight="1">
      <c r="A55" s="33"/>
      <c r="B55" s="33"/>
      <c r="H55" s="33"/>
      <c r="I55" s="33"/>
      <c r="P55" s="33"/>
      <c r="Q55" s="33"/>
      <c r="X55" s="33"/>
      <c r="Y55" s="33"/>
    </row>
    <row r="56" spans="1:25" ht="15.75" customHeight="1">
      <c r="A56" s="33"/>
      <c r="B56" s="33"/>
      <c r="H56" s="33"/>
      <c r="I56" s="33"/>
      <c r="P56" s="33"/>
      <c r="Q56" s="33"/>
      <c r="X56" s="33"/>
      <c r="Y56" s="33"/>
    </row>
    <row r="57" spans="1:25" ht="15.75" customHeight="1">
      <c r="A57" s="33"/>
      <c r="B57" s="33"/>
      <c r="H57" s="33"/>
      <c r="I57" s="33"/>
      <c r="P57" s="33"/>
      <c r="Q57" s="33"/>
      <c r="X57" s="33"/>
      <c r="Y57" s="33"/>
    </row>
    <row r="58" spans="1:25" ht="15.75" customHeight="1">
      <c r="A58" s="33"/>
      <c r="B58" s="33"/>
      <c r="H58" s="33"/>
      <c r="I58" s="33"/>
      <c r="P58" s="33"/>
      <c r="Q58" s="33"/>
      <c r="X58" s="33"/>
      <c r="Y58" s="33"/>
    </row>
    <row r="59" spans="1:25" ht="15.75" customHeight="1">
      <c r="A59" s="33"/>
      <c r="B59" s="33"/>
      <c r="H59" s="33"/>
      <c r="I59" s="33"/>
      <c r="P59" s="33"/>
      <c r="Q59" s="33"/>
      <c r="X59" s="33"/>
      <c r="Y59" s="33"/>
    </row>
    <row r="60" spans="1:25" ht="15.75" customHeight="1">
      <c r="A60" s="33"/>
      <c r="B60" s="33"/>
      <c r="H60" s="33"/>
      <c r="I60" s="33"/>
      <c r="P60" s="33"/>
      <c r="Q60" s="33"/>
      <c r="X60" s="33"/>
      <c r="Y60" s="33"/>
    </row>
    <row r="61" spans="1:25" ht="15.75" customHeight="1">
      <c r="A61" s="33"/>
      <c r="B61" s="33"/>
      <c r="H61" s="33"/>
      <c r="I61" s="33"/>
      <c r="P61" s="33"/>
      <c r="Q61" s="33"/>
      <c r="X61" s="33"/>
      <c r="Y61" s="33"/>
    </row>
    <row r="62" spans="1:25" ht="15.75" customHeight="1">
      <c r="A62" s="33"/>
      <c r="B62" s="33"/>
      <c r="H62" s="33"/>
      <c r="I62" s="33"/>
      <c r="P62" s="33"/>
      <c r="Q62" s="33"/>
      <c r="X62" s="33"/>
      <c r="Y62" s="33"/>
    </row>
    <row r="63" spans="1:25" ht="15.75" customHeight="1">
      <c r="A63" s="33"/>
      <c r="B63" s="33"/>
      <c r="H63" s="33"/>
      <c r="I63" s="33"/>
      <c r="P63" s="33"/>
      <c r="Q63" s="33"/>
      <c r="X63" s="33"/>
      <c r="Y63" s="33"/>
    </row>
    <row r="64" spans="1:25" ht="15.75" customHeight="1">
      <c r="A64" s="33"/>
      <c r="B64" s="33"/>
      <c r="H64" s="33"/>
      <c r="I64" s="33"/>
      <c r="P64" s="33"/>
      <c r="Q64" s="33"/>
      <c r="X64" s="33"/>
      <c r="Y64" s="33"/>
    </row>
    <row r="65" spans="1:25" ht="15.75" customHeight="1">
      <c r="A65" s="33"/>
      <c r="B65" s="33"/>
      <c r="H65" s="33"/>
      <c r="I65" s="33"/>
      <c r="P65" s="33"/>
      <c r="Q65" s="33"/>
      <c r="X65" s="33"/>
      <c r="Y65" s="33"/>
    </row>
    <row r="66" spans="1:25" ht="15.75" customHeight="1">
      <c r="A66" s="33"/>
      <c r="B66" s="33"/>
      <c r="H66" s="33"/>
      <c r="I66" s="33"/>
      <c r="P66" s="33"/>
      <c r="Q66" s="33"/>
      <c r="X66" s="33"/>
      <c r="Y66" s="33"/>
    </row>
    <row r="67" spans="1:25" ht="15.75" customHeight="1">
      <c r="A67" s="33"/>
      <c r="B67" s="33"/>
      <c r="H67" s="33"/>
      <c r="I67" s="33"/>
      <c r="P67" s="33"/>
      <c r="Q67" s="33"/>
      <c r="X67" s="33"/>
      <c r="Y67" s="33"/>
    </row>
    <row r="68" spans="1:25" ht="15.75" customHeight="1">
      <c r="A68" s="33"/>
      <c r="B68" s="33"/>
      <c r="H68" s="33"/>
      <c r="I68" s="33"/>
      <c r="P68" s="33"/>
      <c r="Q68" s="33"/>
      <c r="X68" s="33"/>
      <c r="Y68" s="33"/>
    </row>
    <row r="69" spans="1:25" ht="15.75" customHeight="1">
      <c r="A69" s="33"/>
      <c r="B69" s="33"/>
      <c r="H69" s="33"/>
      <c r="I69" s="33"/>
      <c r="P69" s="33"/>
      <c r="Q69" s="33"/>
      <c r="X69" s="33"/>
      <c r="Y69" s="33"/>
    </row>
    <row r="70" spans="1:25" ht="15.75" customHeight="1">
      <c r="A70" s="33"/>
      <c r="B70" s="33"/>
      <c r="H70" s="33"/>
      <c r="I70" s="33"/>
      <c r="P70" s="33"/>
      <c r="Q70" s="33"/>
      <c r="X70" s="33"/>
      <c r="Y70" s="33"/>
    </row>
    <row r="71" spans="1:25" ht="15.75" customHeight="1">
      <c r="A71" s="33"/>
      <c r="B71" s="33"/>
      <c r="H71" s="33"/>
      <c r="I71" s="33"/>
      <c r="P71" s="33"/>
      <c r="Q71" s="33"/>
      <c r="X71" s="33"/>
      <c r="Y71" s="33"/>
    </row>
    <row r="72" spans="1:25" ht="15.75" customHeight="1">
      <c r="A72" s="33"/>
      <c r="B72" s="33"/>
      <c r="H72" s="33"/>
      <c r="I72" s="33"/>
      <c r="P72" s="33"/>
      <c r="Q72" s="33"/>
      <c r="X72" s="33"/>
      <c r="Y72" s="33"/>
    </row>
    <row r="73" spans="1:25" ht="15.75" customHeight="1">
      <c r="A73" s="33"/>
      <c r="B73" s="33"/>
      <c r="H73" s="33"/>
      <c r="I73" s="33"/>
      <c r="P73" s="33"/>
      <c r="Q73" s="33"/>
      <c r="X73" s="33"/>
      <c r="Y73" s="33"/>
    </row>
    <row r="74" spans="1:25" ht="15.75" customHeight="1">
      <c r="A74" s="33"/>
      <c r="B74" s="33"/>
      <c r="H74" s="33"/>
      <c r="I74" s="33"/>
      <c r="P74" s="33"/>
      <c r="Q74" s="33"/>
      <c r="X74" s="33"/>
      <c r="Y74" s="33"/>
    </row>
    <row r="75" spans="1:25" ht="15.75" customHeight="1">
      <c r="A75" s="33"/>
      <c r="B75" s="33"/>
      <c r="H75" s="33"/>
      <c r="I75" s="33"/>
      <c r="P75" s="33"/>
      <c r="Q75" s="33"/>
      <c r="X75" s="33"/>
      <c r="Y75" s="33"/>
    </row>
    <row r="76" spans="1:25" ht="15.75" customHeight="1">
      <c r="A76" s="33"/>
      <c r="B76" s="33"/>
      <c r="H76" s="33"/>
      <c r="I76" s="33"/>
      <c r="P76" s="33"/>
      <c r="Q76" s="33"/>
      <c r="X76" s="33"/>
      <c r="Y76" s="33"/>
    </row>
    <row r="77" spans="1:25" ht="15.75" customHeight="1">
      <c r="A77" s="33"/>
      <c r="B77" s="33"/>
      <c r="H77" s="33"/>
      <c r="I77" s="33"/>
      <c r="P77" s="33"/>
      <c r="Q77" s="33"/>
      <c r="X77" s="33"/>
      <c r="Y77" s="33"/>
    </row>
    <row r="78" spans="1:25" ht="15.75" customHeight="1">
      <c r="A78" s="33"/>
      <c r="B78" s="33"/>
      <c r="H78" s="33"/>
      <c r="I78" s="33"/>
      <c r="P78" s="33"/>
      <c r="Q78" s="33"/>
      <c r="X78" s="33"/>
      <c r="Y78" s="33"/>
    </row>
    <row r="79" spans="1:25" ht="15.75" customHeight="1">
      <c r="A79" s="33"/>
      <c r="B79" s="33"/>
      <c r="H79" s="33"/>
      <c r="I79" s="33"/>
      <c r="P79" s="33"/>
      <c r="Q79" s="33"/>
      <c r="X79" s="33"/>
      <c r="Y79" s="33"/>
    </row>
    <row r="80" spans="1:25" ht="15.75" customHeight="1">
      <c r="A80" s="33"/>
      <c r="B80" s="33"/>
      <c r="H80" s="33"/>
      <c r="I80" s="33"/>
      <c r="P80" s="33"/>
      <c r="Q80" s="33"/>
      <c r="X80" s="33"/>
      <c r="Y80" s="33"/>
    </row>
    <row r="81" spans="1:25" ht="15.75" customHeight="1">
      <c r="A81" s="33"/>
      <c r="B81" s="33"/>
      <c r="H81" s="33"/>
      <c r="I81" s="33"/>
      <c r="P81" s="33"/>
      <c r="Q81" s="33"/>
      <c r="X81" s="33"/>
      <c r="Y81" s="33"/>
    </row>
    <row r="82" spans="1:25" ht="15.75" customHeight="1">
      <c r="A82" s="33"/>
      <c r="B82" s="33"/>
      <c r="H82" s="33"/>
      <c r="I82" s="33"/>
      <c r="P82" s="33"/>
      <c r="Q82" s="33"/>
      <c r="X82" s="33"/>
      <c r="Y82" s="33"/>
    </row>
    <row r="83" spans="1:25" ht="15.75" customHeight="1">
      <c r="A83" s="33"/>
      <c r="B83" s="33"/>
      <c r="H83" s="33"/>
      <c r="I83" s="33"/>
      <c r="P83" s="33"/>
      <c r="Q83" s="33"/>
      <c r="X83" s="33"/>
      <c r="Y83" s="33"/>
    </row>
    <row r="84" spans="1:25" ht="15.75" customHeight="1">
      <c r="A84" s="33"/>
      <c r="B84" s="33"/>
      <c r="H84" s="33"/>
      <c r="I84" s="33"/>
      <c r="P84" s="33"/>
      <c r="Q84" s="33"/>
      <c r="X84" s="33"/>
      <c r="Y84" s="33"/>
    </row>
    <row r="85" spans="1:25" ht="15.75" customHeight="1">
      <c r="A85" s="33"/>
      <c r="B85" s="33"/>
      <c r="H85" s="33"/>
      <c r="I85" s="33"/>
      <c r="P85" s="33"/>
      <c r="Q85" s="33"/>
      <c r="X85" s="33"/>
      <c r="Y85" s="33"/>
    </row>
    <row r="86" spans="1:25" ht="15.75" customHeight="1">
      <c r="A86" s="33"/>
      <c r="B86" s="33"/>
      <c r="H86" s="33"/>
      <c r="I86" s="33"/>
      <c r="P86" s="33"/>
      <c r="Q86" s="33"/>
      <c r="X86" s="33"/>
      <c r="Y86" s="33"/>
    </row>
    <row r="87" spans="1:25" ht="15.75" customHeight="1">
      <c r="A87" s="33"/>
      <c r="B87" s="33"/>
      <c r="H87" s="33"/>
      <c r="I87" s="33"/>
      <c r="P87" s="33"/>
      <c r="Q87" s="33"/>
      <c r="X87" s="33"/>
      <c r="Y87" s="33"/>
    </row>
    <row r="88" spans="1:25" ht="15.75" customHeight="1">
      <c r="A88" s="33"/>
      <c r="B88" s="33"/>
      <c r="H88" s="33"/>
      <c r="I88" s="33"/>
      <c r="P88" s="33"/>
      <c r="Q88" s="33"/>
      <c r="X88" s="33"/>
      <c r="Y88" s="33"/>
    </row>
    <row r="89" spans="1:25" ht="15.75" customHeight="1">
      <c r="A89" s="33"/>
      <c r="B89" s="33"/>
      <c r="H89" s="33"/>
      <c r="I89" s="33"/>
      <c r="P89" s="33"/>
      <c r="Q89" s="33"/>
      <c r="X89" s="33"/>
      <c r="Y89" s="33"/>
    </row>
    <row r="90" spans="1:25" ht="15.75" customHeight="1">
      <c r="A90" s="33"/>
      <c r="B90" s="33"/>
      <c r="H90" s="33"/>
      <c r="I90" s="33"/>
      <c r="P90" s="33"/>
      <c r="Q90" s="33"/>
      <c r="X90" s="33"/>
      <c r="Y90" s="33"/>
    </row>
    <row r="91" spans="1:25" ht="15.75" customHeight="1">
      <c r="A91" s="33"/>
      <c r="B91" s="33"/>
      <c r="H91" s="33"/>
      <c r="I91" s="33"/>
      <c r="P91" s="33"/>
      <c r="Q91" s="33"/>
      <c r="X91" s="33"/>
      <c r="Y91" s="33"/>
    </row>
    <row r="92" spans="1:25" ht="15.75" customHeight="1">
      <c r="A92" s="33"/>
      <c r="B92" s="33"/>
      <c r="H92" s="33"/>
      <c r="I92" s="33"/>
      <c r="P92" s="33"/>
      <c r="Q92" s="33"/>
      <c r="X92" s="33"/>
      <c r="Y92" s="33"/>
    </row>
    <row r="93" spans="1:25" ht="15.75" customHeight="1">
      <c r="A93" s="33"/>
      <c r="B93" s="33"/>
      <c r="H93" s="33"/>
      <c r="I93" s="33"/>
      <c r="P93" s="33"/>
      <c r="Q93" s="33"/>
      <c r="X93" s="33"/>
      <c r="Y93" s="33"/>
    </row>
    <row r="94" spans="1:25" ht="15.75" customHeight="1">
      <c r="A94" s="33"/>
      <c r="B94" s="33"/>
      <c r="H94" s="33"/>
      <c r="I94" s="33"/>
      <c r="P94" s="33"/>
      <c r="Q94" s="33"/>
      <c r="X94" s="33"/>
      <c r="Y94" s="33"/>
    </row>
    <row r="95" spans="1:25" ht="15.75" customHeight="1">
      <c r="A95" s="33"/>
      <c r="B95" s="33"/>
      <c r="H95" s="33"/>
      <c r="I95" s="33"/>
      <c r="P95" s="33"/>
      <c r="Q95" s="33"/>
      <c r="X95" s="33"/>
      <c r="Y95" s="33"/>
    </row>
    <row r="96" spans="1:25" ht="15.75" customHeight="1">
      <c r="A96" s="33"/>
      <c r="B96" s="33"/>
      <c r="H96" s="33"/>
      <c r="I96" s="33"/>
      <c r="P96" s="33"/>
      <c r="Q96" s="33"/>
      <c r="X96" s="33"/>
      <c r="Y96" s="33"/>
    </row>
    <row r="97" spans="1:25" ht="15.75" customHeight="1">
      <c r="A97" s="33"/>
      <c r="B97" s="33"/>
      <c r="H97" s="33"/>
      <c r="I97" s="33"/>
      <c r="P97" s="33"/>
      <c r="Q97" s="33"/>
      <c r="X97" s="33"/>
      <c r="Y97" s="33"/>
    </row>
    <row r="98" spans="1:25" ht="15.75" customHeight="1">
      <c r="A98" s="33"/>
      <c r="B98" s="33"/>
      <c r="H98" s="33"/>
      <c r="I98" s="33"/>
      <c r="P98" s="33"/>
      <c r="Q98" s="33"/>
      <c r="X98" s="33"/>
      <c r="Y98" s="33"/>
    </row>
    <row r="99" spans="1:25" ht="15.75" customHeight="1">
      <c r="A99" s="33"/>
      <c r="B99" s="33"/>
      <c r="H99" s="33"/>
      <c r="I99" s="33"/>
      <c r="P99" s="33"/>
      <c r="Q99" s="33"/>
      <c r="X99" s="33"/>
      <c r="Y99" s="33"/>
    </row>
    <row r="100" spans="1:25" ht="15.75" customHeight="1">
      <c r="A100" s="33"/>
      <c r="B100" s="33"/>
      <c r="H100" s="33"/>
      <c r="I100" s="33"/>
      <c r="P100" s="33"/>
      <c r="Q100" s="33"/>
      <c r="X100" s="33"/>
      <c r="Y100" s="33"/>
    </row>
    <row r="101" spans="1:25" ht="15.75" customHeight="1">
      <c r="A101" s="33"/>
      <c r="B101" s="33"/>
      <c r="H101" s="33"/>
      <c r="I101" s="33"/>
      <c r="P101" s="33"/>
      <c r="Q101" s="33"/>
      <c r="X101" s="33"/>
      <c r="Y101" s="33"/>
    </row>
    <row r="102" spans="1:25" ht="15.75" customHeight="1">
      <c r="A102" s="33"/>
      <c r="B102" s="33"/>
      <c r="H102" s="33"/>
      <c r="I102" s="33"/>
      <c r="P102" s="33"/>
      <c r="Q102" s="33"/>
      <c r="X102" s="33"/>
      <c r="Y102" s="33"/>
    </row>
    <row r="103" spans="1:25" ht="15.75" customHeight="1">
      <c r="A103" s="33"/>
      <c r="B103" s="33"/>
      <c r="H103" s="33"/>
      <c r="I103" s="33"/>
      <c r="P103" s="33"/>
      <c r="Q103" s="33"/>
      <c r="X103" s="33"/>
      <c r="Y103" s="33"/>
    </row>
    <row r="104" spans="1:25" ht="15.75" customHeight="1">
      <c r="A104" s="33"/>
      <c r="B104" s="33"/>
      <c r="H104" s="33"/>
      <c r="I104" s="33"/>
      <c r="P104" s="33"/>
      <c r="Q104" s="33"/>
      <c r="X104" s="33"/>
      <c r="Y104" s="33"/>
    </row>
    <row r="105" spans="1:25" ht="15.75" customHeight="1">
      <c r="A105" s="33"/>
      <c r="B105" s="33"/>
      <c r="H105" s="33"/>
      <c r="I105" s="33"/>
      <c r="P105" s="33"/>
      <c r="Q105" s="33"/>
      <c r="X105" s="33"/>
      <c r="Y105" s="33"/>
    </row>
    <row r="106" spans="1:25" ht="15.75" customHeight="1">
      <c r="A106" s="33"/>
      <c r="B106" s="33"/>
      <c r="H106" s="33"/>
      <c r="I106" s="33"/>
      <c r="P106" s="33"/>
      <c r="Q106" s="33"/>
      <c r="X106" s="33"/>
      <c r="Y106" s="33"/>
    </row>
    <row r="107" spans="1:25" ht="15.75" customHeight="1">
      <c r="A107" s="33"/>
      <c r="B107" s="33"/>
      <c r="H107" s="33"/>
      <c r="I107" s="33"/>
      <c r="P107" s="33"/>
      <c r="Q107" s="33"/>
      <c r="X107" s="33"/>
      <c r="Y107" s="33"/>
    </row>
    <row r="108" spans="1:25" ht="15.75" customHeight="1">
      <c r="A108" s="33"/>
      <c r="B108" s="33"/>
      <c r="H108" s="33"/>
      <c r="I108" s="33"/>
      <c r="P108" s="33"/>
      <c r="Q108" s="33"/>
      <c r="X108" s="33"/>
      <c r="Y108" s="33"/>
    </row>
    <row r="109" spans="1:25" ht="15.75" customHeight="1">
      <c r="A109" s="33"/>
      <c r="B109" s="33"/>
      <c r="H109" s="33"/>
      <c r="I109" s="33"/>
      <c r="P109" s="33"/>
      <c r="Q109" s="33"/>
      <c r="X109" s="33"/>
      <c r="Y109" s="33"/>
    </row>
    <row r="110" spans="1:25" ht="15.75" customHeight="1">
      <c r="A110" s="33"/>
      <c r="B110" s="33"/>
      <c r="H110" s="33"/>
      <c r="I110" s="33"/>
      <c r="P110" s="33"/>
      <c r="Q110" s="33"/>
      <c r="X110" s="33"/>
      <c r="Y110" s="33"/>
    </row>
    <row r="111" spans="1:25" ht="15.75" customHeight="1">
      <c r="A111" s="33"/>
      <c r="B111" s="33"/>
      <c r="H111" s="33"/>
      <c r="I111" s="33"/>
      <c r="P111" s="33"/>
      <c r="Q111" s="33"/>
      <c r="X111" s="33"/>
      <c r="Y111" s="33"/>
    </row>
    <row r="112" spans="1:25" ht="15.75" customHeight="1">
      <c r="A112" s="33"/>
      <c r="B112" s="33"/>
      <c r="H112" s="33"/>
      <c r="I112" s="33"/>
      <c r="P112" s="33"/>
      <c r="Q112" s="33"/>
      <c r="X112" s="33"/>
      <c r="Y112" s="33"/>
    </row>
    <row r="113" spans="1:25" ht="15.75" customHeight="1">
      <c r="A113" s="33"/>
      <c r="B113" s="33"/>
      <c r="H113" s="33"/>
      <c r="I113" s="33"/>
      <c r="P113" s="33"/>
      <c r="Q113" s="33"/>
      <c r="X113" s="33"/>
      <c r="Y113" s="33"/>
    </row>
    <row r="114" spans="1:25" ht="15.75" customHeight="1">
      <c r="A114" s="33"/>
      <c r="B114" s="33"/>
      <c r="H114" s="33"/>
      <c r="I114" s="33"/>
      <c r="P114" s="33"/>
      <c r="Q114" s="33"/>
      <c r="X114" s="33"/>
      <c r="Y114" s="33"/>
    </row>
    <row r="115" spans="1:25" ht="15.75" customHeight="1">
      <c r="A115" s="33"/>
      <c r="B115" s="33"/>
      <c r="H115" s="33"/>
      <c r="I115" s="33"/>
      <c r="P115" s="33"/>
      <c r="Q115" s="33"/>
      <c r="X115" s="33"/>
      <c r="Y115" s="33"/>
    </row>
    <row r="116" spans="1:25" ht="15.75" customHeight="1">
      <c r="A116" s="33"/>
      <c r="B116" s="33"/>
      <c r="H116" s="33"/>
      <c r="I116" s="33"/>
      <c r="P116" s="33"/>
      <c r="Q116" s="33"/>
      <c r="X116" s="33"/>
      <c r="Y116" s="33"/>
    </row>
    <row r="117" spans="1:25" ht="15.75" customHeight="1">
      <c r="A117" s="33"/>
      <c r="B117" s="33"/>
      <c r="H117" s="33"/>
      <c r="I117" s="33"/>
      <c r="P117" s="33"/>
      <c r="Q117" s="33"/>
      <c r="X117" s="33"/>
      <c r="Y117" s="33"/>
    </row>
    <row r="118" spans="1:25" ht="15.75" customHeight="1">
      <c r="A118" s="33"/>
      <c r="B118" s="33"/>
      <c r="H118" s="33"/>
      <c r="I118" s="33"/>
      <c r="P118" s="33"/>
      <c r="Q118" s="33"/>
      <c r="X118" s="33"/>
      <c r="Y118" s="33"/>
    </row>
    <row r="119" spans="1:25" ht="15.75" customHeight="1">
      <c r="A119" s="33"/>
      <c r="B119" s="33"/>
      <c r="H119" s="33"/>
      <c r="I119" s="33"/>
      <c r="P119" s="33"/>
      <c r="Q119" s="33"/>
      <c r="X119" s="33"/>
      <c r="Y119" s="33"/>
    </row>
    <row r="120" spans="1:25" ht="15.75" customHeight="1">
      <c r="A120" s="33"/>
      <c r="B120" s="33"/>
      <c r="H120" s="33"/>
      <c r="I120" s="33"/>
      <c r="P120" s="33"/>
      <c r="Q120" s="33"/>
      <c r="X120" s="33"/>
      <c r="Y120" s="33"/>
    </row>
    <row r="121" spans="1:25" ht="15.75" customHeight="1">
      <c r="A121" s="33"/>
      <c r="B121" s="33"/>
      <c r="H121" s="33"/>
      <c r="I121" s="33"/>
      <c r="P121" s="33"/>
      <c r="Q121" s="33"/>
      <c r="X121" s="33"/>
      <c r="Y121" s="33"/>
    </row>
    <row r="122" spans="1:25" ht="15.75" customHeight="1">
      <c r="A122" s="33"/>
      <c r="B122" s="33"/>
      <c r="H122" s="33"/>
      <c r="I122" s="33"/>
      <c r="P122" s="33"/>
      <c r="Q122" s="33"/>
      <c r="X122" s="33"/>
      <c r="Y122" s="33"/>
    </row>
    <row r="123" spans="1:25" ht="15.75" customHeight="1">
      <c r="A123" s="33"/>
      <c r="B123" s="33"/>
      <c r="H123" s="33"/>
      <c r="I123" s="33"/>
      <c r="P123" s="33"/>
      <c r="Q123" s="33"/>
      <c r="X123" s="33"/>
      <c r="Y123" s="33"/>
    </row>
    <row r="124" spans="1:25" ht="15.75" customHeight="1">
      <c r="A124" s="33"/>
      <c r="B124" s="33"/>
      <c r="H124" s="33"/>
      <c r="I124" s="33"/>
      <c r="P124" s="33"/>
      <c r="Q124" s="33"/>
      <c r="X124" s="33"/>
      <c r="Y124" s="33"/>
    </row>
    <row r="125" spans="1:25" ht="15.75" customHeight="1">
      <c r="A125" s="33"/>
      <c r="B125" s="33"/>
      <c r="H125" s="33"/>
      <c r="I125" s="33"/>
      <c r="P125" s="33"/>
      <c r="Q125" s="33"/>
      <c r="X125" s="33"/>
      <c r="Y125" s="33"/>
    </row>
    <row r="126" spans="1:25" ht="15.75" customHeight="1">
      <c r="A126" s="33"/>
      <c r="B126" s="33"/>
      <c r="H126" s="33"/>
      <c r="I126" s="33"/>
      <c r="P126" s="33"/>
      <c r="Q126" s="33"/>
      <c r="X126" s="33"/>
      <c r="Y126" s="33"/>
    </row>
    <row r="127" spans="1:25" ht="15.75" customHeight="1">
      <c r="A127" s="33"/>
      <c r="B127" s="33"/>
      <c r="H127" s="33"/>
      <c r="I127" s="33"/>
      <c r="P127" s="33"/>
      <c r="Q127" s="33"/>
      <c r="X127" s="33"/>
      <c r="Y127" s="33"/>
    </row>
    <row r="128" spans="1:25" ht="15.75" customHeight="1">
      <c r="A128" s="33"/>
      <c r="B128" s="33"/>
      <c r="H128" s="33"/>
      <c r="I128" s="33"/>
      <c r="P128" s="33"/>
      <c r="Q128" s="33"/>
      <c r="X128" s="33"/>
      <c r="Y128" s="33"/>
    </row>
    <row r="129" spans="1:25" ht="15.75" customHeight="1">
      <c r="A129" s="33"/>
      <c r="B129" s="33"/>
      <c r="H129" s="33"/>
      <c r="I129" s="33"/>
      <c r="P129" s="33"/>
      <c r="Q129" s="33"/>
      <c r="X129" s="33"/>
      <c r="Y129" s="33"/>
    </row>
    <row r="130" spans="1:25" ht="15.75" customHeight="1">
      <c r="A130" s="33"/>
      <c r="B130" s="33"/>
      <c r="H130" s="33"/>
      <c r="I130" s="33"/>
      <c r="P130" s="33"/>
      <c r="Q130" s="33"/>
      <c r="X130" s="33"/>
      <c r="Y130" s="33"/>
    </row>
    <row r="131" spans="1:25" ht="15.75" customHeight="1">
      <c r="A131" s="33"/>
      <c r="B131" s="33"/>
      <c r="H131" s="33"/>
      <c r="I131" s="33"/>
      <c r="P131" s="33"/>
      <c r="Q131" s="33"/>
      <c r="X131" s="33"/>
      <c r="Y131" s="33"/>
    </row>
    <row r="132" spans="1:25" ht="15.75" customHeight="1">
      <c r="A132" s="33"/>
      <c r="B132" s="33"/>
      <c r="H132" s="33"/>
      <c r="I132" s="33"/>
      <c r="P132" s="33"/>
      <c r="Q132" s="33"/>
      <c r="X132" s="33"/>
      <c r="Y132" s="33"/>
    </row>
    <row r="133" spans="1:25" ht="15.75" customHeight="1">
      <c r="A133" s="33"/>
      <c r="B133" s="33"/>
      <c r="H133" s="33"/>
      <c r="I133" s="33"/>
      <c r="P133" s="33"/>
      <c r="Q133" s="33"/>
      <c r="X133" s="33"/>
      <c r="Y133" s="33"/>
    </row>
    <row r="134" spans="1:25" ht="15.75" customHeight="1">
      <c r="A134" s="33"/>
      <c r="B134" s="33"/>
      <c r="H134" s="33"/>
      <c r="I134" s="33"/>
      <c r="P134" s="33"/>
      <c r="Q134" s="33"/>
      <c r="X134" s="33"/>
      <c r="Y134" s="33"/>
    </row>
    <row r="135" spans="1:25" ht="15.75" customHeight="1">
      <c r="A135" s="33"/>
      <c r="B135" s="33"/>
      <c r="H135" s="33"/>
      <c r="I135" s="33"/>
      <c r="P135" s="33"/>
      <c r="Q135" s="33"/>
      <c r="X135" s="33"/>
      <c r="Y135" s="33"/>
    </row>
    <row r="136" spans="1:25" ht="15.75" customHeight="1">
      <c r="A136" s="33"/>
      <c r="B136" s="33"/>
      <c r="H136" s="33"/>
      <c r="I136" s="33"/>
      <c r="P136" s="33"/>
      <c r="Q136" s="33"/>
      <c r="X136" s="33"/>
      <c r="Y136" s="33"/>
    </row>
    <row r="137" spans="1:25" ht="15.75" customHeight="1">
      <c r="A137" s="33"/>
      <c r="B137" s="33"/>
      <c r="H137" s="33"/>
      <c r="I137" s="33"/>
      <c r="P137" s="33"/>
      <c r="Q137" s="33"/>
      <c r="X137" s="33"/>
      <c r="Y137" s="33"/>
    </row>
    <row r="138" spans="1:25" ht="15.75" customHeight="1">
      <c r="A138" s="33"/>
      <c r="B138" s="33"/>
      <c r="H138" s="33"/>
      <c r="I138" s="33"/>
      <c r="P138" s="33"/>
      <c r="Q138" s="33"/>
      <c r="X138" s="33"/>
      <c r="Y138" s="33"/>
    </row>
    <row r="139" spans="1:25" ht="15.75" customHeight="1">
      <c r="A139" s="33"/>
      <c r="B139" s="33"/>
      <c r="H139" s="33"/>
      <c r="I139" s="33"/>
      <c r="P139" s="33"/>
      <c r="Q139" s="33"/>
      <c r="X139" s="33"/>
      <c r="Y139" s="33"/>
    </row>
    <row r="140" spans="1:25" ht="15.75" customHeight="1">
      <c r="A140" s="33"/>
      <c r="B140" s="33"/>
      <c r="H140" s="33"/>
      <c r="I140" s="33"/>
      <c r="P140" s="33"/>
      <c r="Q140" s="33"/>
      <c r="X140" s="33"/>
      <c r="Y140" s="33"/>
    </row>
    <row r="141" spans="1:25" ht="15.75" customHeight="1">
      <c r="A141" s="33"/>
      <c r="B141" s="33"/>
      <c r="H141" s="33"/>
      <c r="I141" s="33"/>
      <c r="P141" s="33"/>
      <c r="Q141" s="33"/>
      <c r="X141" s="33"/>
      <c r="Y141" s="33"/>
    </row>
    <row r="142" spans="1:25" ht="15.75" customHeight="1">
      <c r="A142" s="33"/>
      <c r="B142" s="33"/>
      <c r="H142" s="33"/>
      <c r="I142" s="33"/>
      <c r="P142" s="33"/>
      <c r="Q142" s="33"/>
      <c r="X142" s="33"/>
      <c r="Y142" s="33"/>
    </row>
    <row r="143" spans="1:25" ht="15.75" customHeight="1">
      <c r="A143" s="33"/>
      <c r="B143" s="33"/>
      <c r="H143" s="33"/>
      <c r="I143" s="33"/>
      <c r="P143" s="33"/>
      <c r="Q143" s="33"/>
      <c r="X143" s="33"/>
      <c r="Y143" s="33"/>
    </row>
    <row r="144" spans="1:25" ht="15.75" customHeight="1">
      <c r="A144" s="33"/>
      <c r="B144" s="33"/>
      <c r="H144" s="33"/>
      <c r="I144" s="33"/>
      <c r="P144" s="33"/>
      <c r="Q144" s="33"/>
      <c r="X144" s="33"/>
      <c r="Y144" s="33"/>
    </row>
    <row r="145" spans="1:25" ht="15.75" customHeight="1">
      <c r="A145" s="33"/>
      <c r="B145" s="33"/>
      <c r="H145" s="33"/>
      <c r="I145" s="33"/>
      <c r="P145" s="33"/>
      <c r="Q145" s="33"/>
      <c r="X145" s="33"/>
      <c r="Y145" s="33"/>
    </row>
    <row r="146" spans="1:25" ht="15.75" customHeight="1">
      <c r="A146" s="33"/>
      <c r="B146" s="33"/>
      <c r="H146" s="33"/>
      <c r="I146" s="33"/>
      <c r="P146" s="33"/>
      <c r="Q146" s="33"/>
      <c r="X146" s="33"/>
      <c r="Y146" s="33"/>
    </row>
    <row r="147" spans="1:25" ht="15.75" customHeight="1">
      <c r="A147" s="33"/>
      <c r="B147" s="33"/>
      <c r="H147" s="33"/>
      <c r="I147" s="33"/>
      <c r="P147" s="33"/>
      <c r="Q147" s="33"/>
      <c r="X147" s="33"/>
      <c r="Y147" s="33"/>
    </row>
    <row r="148" spans="1:25" ht="15.75" customHeight="1">
      <c r="A148" s="33"/>
      <c r="B148" s="33"/>
      <c r="H148" s="33"/>
      <c r="I148" s="33"/>
      <c r="P148" s="33"/>
      <c r="Q148" s="33"/>
      <c r="X148" s="33"/>
      <c r="Y148" s="33"/>
    </row>
    <row r="149" spans="1:25" ht="15.75" customHeight="1">
      <c r="A149" s="33"/>
      <c r="B149" s="33"/>
      <c r="H149" s="33"/>
      <c r="I149" s="33"/>
      <c r="P149" s="33"/>
      <c r="Q149" s="33"/>
      <c r="X149" s="33"/>
      <c r="Y149" s="33"/>
    </row>
    <row r="150" spans="1:25" ht="15.75" customHeight="1">
      <c r="A150" s="33"/>
      <c r="B150" s="33"/>
      <c r="H150" s="33"/>
      <c r="I150" s="33"/>
      <c r="P150" s="33"/>
      <c r="Q150" s="33"/>
      <c r="X150" s="33"/>
      <c r="Y150" s="33"/>
    </row>
    <row r="151" spans="1:25" ht="15.75" customHeight="1">
      <c r="A151" s="33"/>
      <c r="B151" s="33"/>
      <c r="H151" s="33"/>
      <c r="I151" s="33"/>
      <c r="P151" s="33"/>
      <c r="Q151" s="33"/>
      <c r="X151" s="33"/>
      <c r="Y151" s="33"/>
    </row>
    <row r="152" spans="1:25" ht="15.75" customHeight="1">
      <c r="A152" s="33"/>
      <c r="B152" s="33"/>
      <c r="H152" s="33"/>
      <c r="I152" s="33"/>
      <c r="P152" s="33"/>
      <c r="Q152" s="33"/>
      <c r="X152" s="33"/>
      <c r="Y152" s="33"/>
    </row>
    <row r="153" spans="1:25" ht="15.75" customHeight="1">
      <c r="A153" s="33"/>
      <c r="B153" s="33"/>
      <c r="H153" s="33"/>
      <c r="I153" s="33"/>
      <c r="P153" s="33"/>
      <c r="Q153" s="33"/>
      <c r="X153" s="33"/>
      <c r="Y153" s="33"/>
    </row>
    <row r="154" spans="1:25" ht="15.75" customHeight="1">
      <c r="A154" s="33"/>
      <c r="B154" s="33"/>
      <c r="H154" s="33"/>
      <c r="I154" s="33"/>
      <c r="P154" s="33"/>
      <c r="Q154" s="33"/>
      <c r="X154" s="33"/>
      <c r="Y154" s="33"/>
    </row>
    <row r="155" spans="1:25" ht="15.75" customHeight="1">
      <c r="A155" s="33"/>
      <c r="B155" s="33"/>
      <c r="H155" s="33"/>
      <c r="I155" s="33"/>
      <c r="P155" s="33"/>
      <c r="Q155" s="33"/>
      <c r="X155" s="33"/>
      <c r="Y155" s="33"/>
    </row>
    <row r="156" spans="1:25" ht="15.75" customHeight="1">
      <c r="A156" s="33"/>
      <c r="B156" s="33"/>
      <c r="H156" s="33"/>
      <c r="I156" s="33"/>
      <c r="P156" s="33"/>
      <c r="Q156" s="33"/>
      <c r="X156" s="33"/>
      <c r="Y156" s="33"/>
    </row>
    <row r="157" spans="1:25" ht="15.75" customHeight="1">
      <c r="A157" s="33"/>
      <c r="B157" s="33"/>
      <c r="H157" s="33"/>
      <c r="I157" s="33"/>
      <c r="P157" s="33"/>
      <c r="Q157" s="33"/>
      <c r="X157" s="33"/>
      <c r="Y157" s="33"/>
    </row>
    <row r="158" spans="1:25" ht="15.75" customHeight="1">
      <c r="A158" s="33"/>
      <c r="B158" s="33"/>
      <c r="H158" s="33"/>
      <c r="I158" s="33"/>
      <c r="P158" s="33"/>
      <c r="Q158" s="33"/>
      <c r="X158" s="33"/>
      <c r="Y158" s="33"/>
    </row>
    <row r="159" spans="1:25" ht="15.75" customHeight="1">
      <c r="A159" s="33"/>
      <c r="B159" s="33"/>
      <c r="H159" s="33"/>
      <c r="I159" s="33"/>
      <c r="P159" s="33"/>
      <c r="Q159" s="33"/>
      <c r="X159" s="33"/>
      <c r="Y159" s="33"/>
    </row>
    <row r="160" spans="1:25" ht="15.75" customHeight="1">
      <c r="A160" s="33"/>
      <c r="B160" s="33"/>
      <c r="H160" s="33"/>
      <c r="I160" s="33"/>
      <c r="P160" s="33"/>
      <c r="Q160" s="33"/>
      <c r="X160" s="33"/>
      <c r="Y160" s="33"/>
    </row>
    <row r="161" spans="1:25" ht="15.75" customHeight="1">
      <c r="A161" s="33"/>
      <c r="B161" s="33"/>
      <c r="H161" s="33"/>
      <c r="I161" s="33"/>
      <c r="P161" s="33"/>
      <c r="Q161" s="33"/>
      <c r="X161" s="33"/>
      <c r="Y161" s="33"/>
    </row>
    <row r="162" spans="1:25" ht="15.75" customHeight="1">
      <c r="A162" s="33"/>
      <c r="B162" s="33"/>
      <c r="H162" s="33"/>
      <c r="I162" s="33"/>
      <c r="P162" s="33"/>
      <c r="Q162" s="33"/>
      <c r="X162" s="33"/>
      <c r="Y162" s="33"/>
    </row>
    <row r="163" spans="1:25" ht="15.75" customHeight="1">
      <c r="A163" s="33"/>
      <c r="B163" s="33"/>
      <c r="H163" s="33"/>
      <c r="I163" s="33"/>
      <c r="P163" s="33"/>
      <c r="Q163" s="33"/>
      <c r="X163" s="33"/>
      <c r="Y163" s="33"/>
    </row>
    <row r="164" spans="1:25" ht="15.75" customHeight="1">
      <c r="A164" s="33"/>
      <c r="B164" s="33"/>
      <c r="H164" s="33"/>
      <c r="I164" s="33"/>
      <c r="P164" s="33"/>
      <c r="Q164" s="33"/>
      <c r="X164" s="33"/>
      <c r="Y164" s="33"/>
    </row>
    <row r="165" spans="1:25" ht="15.75" customHeight="1">
      <c r="A165" s="33"/>
      <c r="B165" s="33"/>
      <c r="H165" s="33"/>
      <c r="I165" s="33"/>
      <c r="P165" s="33"/>
      <c r="Q165" s="33"/>
      <c r="X165" s="33"/>
      <c r="Y165" s="33"/>
    </row>
    <row r="166" spans="1:25" ht="15.75" customHeight="1">
      <c r="A166" s="33"/>
      <c r="B166" s="33"/>
      <c r="H166" s="33"/>
      <c r="I166" s="33"/>
      <c r="P166" s="33"/>
      <c r="Q166" s="33"/>
      <c r="X166" s="33"/>
      <c r="Y166" s="33"/>
    </row>
    <row r="167" spans="1:25" ht="15.75" customHeight="1">
      <c r="A167" s="33"/>
      <c r="B167" s="33"/>
      <c r="H167" s="33"/>
      <c r="I167" s="33"/>
      <c r="P167" s="33"/>
      <c r="Q167" s="33"/>
      <c r="X167" s="33"/>
      <c r="Y167" s="33"/>
    </row>
    <row r="168" spans="1:25" ht="15.75" customHeight="1">
      <c r="A168" s="33"/>
      <c r="B168" s="33"/>
      <c r="H168" s="33"/>
      <c r="I168" s="33"/>
      <c r="P168" s="33"/>
      <c r="Q168" s="33"/>
      <c r="X168" s="33"/>
      <c r="Y168" s="33"/>
    </row>
    <row r="169" spans="1:25" ht="15.75" customHeight="1">
      <c r="A169" s="33"/>
      <c r="B169" s="33"/>
      <c r="H169" s="33"/>
      <c r="I169" s="33"/>
      <c r="P169" s="33"/>
      <c r="Q169" s="33"/>
      <c r="X169" s="33"/>
      <c r="Y169" s="33"/>
    </row>
    <row r="170" spans="1:25" ht="15.75" customHeight="1">
      <c r="A170" s="33"/>
      <c r="B170" s="33"/>
      <c r="H170" s="33"/>
      <c r="I170" s="33"/>
      <c r="P170" s="33"/>
      <c r="Q170" s="33"/>
      <c r="X170" s="33"/>
      <c r="Y170" s="33"/>
    </row>
    <row r="171" spans="1:25" ht="15.75" customHeight="1">
      <c r="A171" s="33"/>
      <c r="B171" s="33"/>
      <c r="H171" s="33"/>
      <c r="I171" s="33"/>
      <c r="P171" s="33"/>
      <c r="Q171" s="33"/>
      <c r="X171" s="33"/>
      <c r="Y171" s="33"/>
    </row>
    <row r="172" spans="1:25" ht="15.75" customHeight="1">
      <c r="A172" s="33"/>
      <c r="B172" s="33"/>
      <c r="H172" s="33"/>
      <c r="I172" s="33"/>
      <c r="P172" s="33"/>
      <c r="Q172" s="33"/>
      <c r="X172" s="33"/>
      <c r="Y172" s="33"/>
    </row>
    <row r="173" spans="1:25" ht="15.75" customHeight="1">
      <c r="A173" s="33"/>
      <c r="B173" s="33"/>
      <c r="H173" s="33"/>
      <c r="I173" s="33"/>
      <c r="P173" s="33"/>
      <c r="Q173" s="33"/>
      <c r="X173" s="33"/>
      <c r="Y173" s="33"/>
    </row>
    <row r="174" spans="1:25" ht="15.75" customHeight="1">
      <c r="A174" s="33"/>
      <c r="B174" s="33"/>
      <c r="H174" s="33"/>
      <c r="I174" s="33"/>
      <c r="P174" s="33"/>
      <c r="Q174" s="33"/>
      <c r="X174" s="33"/>
      <c r="Y174" s="33"/>
    </row>
    <row r="175" spans="1:25" ht="15.75" customHeight="1">
      <c r="A175" s="33"/>
      <c r="B175" s="33"/>
      <c r="H175" s="33"/>
      <c r="I175" s="33"/>
      <c r="P175" s="33"/>
      <c r="Q175" s="33"/>
      <c r="X175" s="33"/>
      <c r="Y175" s="33"/>
    </row>
    <row r="176" spans="1:25" ht="15.75" customHeight="1">
      <c r="A176" s="33"/>
      <c r="B176" s="33"/>
      <c r="H176" s="33"/>
      <c r="I176" s="33"/>
      <c r="P176" s="33"/>
      <c r="Q176" s="33"/>
      <c r="X176" s="33"/>
      <c r="Y176" s="33"/>
    </row>
    <row r="177" spans="1:25" ht="15.75" customHeight="1">
      <c r="A177" s="33"/>
      <c r="B177" s="33"/>
      <c r="H177" s="33"/>
      <c r="I177" s="33"/>
      <c r="P177" s="33"/>
      <c r="Q177" s="33"/>
      <c r="X177" s="33"/>
      <c r="Y177" s="33"/>
    </row>
    <row r="178" spans="1:25" ht="15.75" customHeight="1">
      <c r="A178" s="33"/>
      <c r="B178" s="33"/>
      <c r="H178" s="33"/>
      <c r="I178" s="33"/>
      <c r="P178" s="33"/>
      <c r="Q178" s="33"/>
      <c r="X178" s="33"/>
      <c r="Y178" s="33"/>
    </row>
    <row r="179" spans="1:25" ht="15.75" customHeight="1">
      <c r="A179" s="33"/>
      <c r="B179" s="33"/>
      <c r="H179" s="33"/>
      <c r="I179" s="33"/>
      <c r="P179" s="33"/>
      <c r="Q179" s="33"/>
      <c r="X179" s="33"/>
      <c r="Y179" s="33"/>
    </row>
    <row r="180" spans="1:25" ht="15.75" customHeight="1">
      <c r="A180" s="33"/>
      <c r="B180" s="33"/>
      <c r="H180" s="33"/>
      <c r="I180" s="33"/>
      <c r="P180" s="33"/>
      <c r="Q180" s="33"/>
      <c r="X180" s="33"/>
      <c r="Y180" s="33"/>
    </row>
    <row r="181" spans="1:25" ht="15.75" customHeight="1">
      <c r="A181" s="33"/>
      <c r="B181" s="33"/>
      <c r="H181" s="33"/>
      <c r="I181" s="33"/>
      <c r="P181" s="33"/>
      <c r="Q181" s="33"/>
      <c r="X181" s="33"/>
      <c r="Y181" s="33"/>
    </row>
    <row r="182" spans="1:25" ht="15.75" customHeight="1">
      <c r="A182" s="33"/>
      <c r="B182" s="33"/>
      <c r="H182" s="33"/>
      <c r="I182" s="33"/>
      <c r="P182" s="33"/>
      <c r="Q182" s="33"/>
      <c r="X182" s="33"/>
      <c r="Y182" s="33"/>
    </row>
    <row r="183" spans="1:25" ht="15.75" customHeight="1">
      <c r="A183" s="33"/>
      <c r="B183" s="33"/>
      <c r="H183" s="33"/>
      <c r="I183" s="33"/>
      <c r="P183" s="33"/>
      <c r="Q183" s="33"/>
      <c r="X183" s="33"/>
      <c r="Y183" s="33"/>
    </row>
    <row r="184" spans="1:25" ht="15.75" customHeight="1">
      <c r="A184" s="33"/>
      <c r="B184" s="33"/>
      <c r="H184" s="33"/>
      <c r="I184" s="33"/>
      <c r="P184" s="33"/>
      <c r="Q184" s="33"/>
      <c r="X184" s="33"/>
      <c r="Y184" s="33"/>
    </row>
    <row r="185" spans="1:25" ht="15.75" customHeight="1">
      <c r="A185" s="33"/>
      <c r="B185" s="33"/>
      <c r="H185" s="33"/>
      <c r="I185" s="33"/>
      <c r="P185" s="33"/>
      <c r="Q185" s="33"/>
      <c r="X185" s="33"/>
      <c r="Y185" s="33"/>
    </row>
    <row r="186" spans="1:25" ht="15.75" customHeight="1">
      <c r="A186" s="33"/>
      <c r="B186" s="33"/>
      <c r="H186" s="33"/>
      <c r="I186" s="33"/>
      <c r="P186" s="33"/>
      <c r="Q186" s="33"/>
      <c r="X186" s="33"/>
      <c r="Y186" s="33"/>
    </row>
    <row r="187" spans="1:25" ht="15.75" customHeight="1">
      <c r="A187" s="33"/>
      <c r="B187" s="33"/>
      <c r="H187" s="33"/>
      <c r="I187" s="33"/>
      <c r="P187" s="33"/>
      <c r="Q187" s="33"/>
      <c r="X187" s="33"/>
      <c r="Y187" s="33"/>
    </row>
    <row r="188" spans="1:25" ht="15.75" customHeight="1">
      <c r="A188" s="33"/>
      <c r="B188" s="33"/>
      <c r="H188" s="33"/>
      <c r="I188" s="33"/>
      <c r="P188" s="33"/>
      <c r="Q188" s="33"/>
      <c r="X188" s="33"/>
      <c r="Y188" s="33"/>
    </row>
    <row r="189" spans="1:25" ht="15.75" customHeight="1">
      <c r="A189" s="33"/>
      <c r="B189" s="33"/>
      <c r="H189" s="33"/>
      <c r="I189" s="33"/>
      <c r="P189" s="33"/>
      <c r="Q189" s="33"/>
      <c r="X189" s="33"/>
      <c r="Y189" s="33"/>
    </row>
    <row r="190" spans="1:25" ht="15.75" customHeight="1">
      <c r="A190" s="33"/>
      <c r="B190" s="33"/>
      <c r="H190" s="33"/>
      <c r="I190" s="33"/>
      <c r="P190" s="33"/>
      <c r="Q190" s="33"/>
      <c r="X190" s="33"/>
      <c r="Y190" s="33"/>
    </row>
    <row r="191" spans="1:25" ht="15.75" customHeight="1">
      <c r="A191" s="33"/>
      <c r="B191" s="33"/>
      <c r="H191" s="33"/>
      <c r="I191" s="33"/>
      <c r="P191" s="33"/>
      <c r="Q191" s="33"/>
      <c r="X191" s="33"/>
      <c r="Y191" s="33"/>
    </row>
    <row r="192" spans="1:25" ht="15.75" customHeight="1">
      <c r="A192" s="33"/>
      <c r="B192" s="33"/>
      <c r="H192" s="33"/>
      <c r="I192" s="33"/>
      <c r="P192" s="33"/>
      <c r="Q192" s="33"/>
      <c r="X192" s="33"/>
      <c r="Y192" s="33"/>
    </row>
    <row r="193" spans="1:25" ht="15.75" customHeight="1">
      <c r="A193" s="33"/>
      <c r="B193" s="33"/>
      <c r="H193" s="33"/>
      <c r="I193" s="33"/>
      <c r="P193" s="33"/>
      <c r="Q193" s="33"/>
      <c r="X193" s="33"/>
      <c r="Y193" s="33"/>
    </row>
    <row r="194" spans="1:25" ht="15.75" customHeight="1">
      <c r="A194" s="33"/>
      <c r="B194" s="33"/>
      <c r="H194" s="33"/>
      <c r="I194" s="33"/>
      <c r="P194" s="33"/>
      <c r="Q194" s="33"/>
      <c r="X194" s="33"/>
      <c r="Y194" s="33"/>
    </row>
    <row r="195" spans="1:25" ht="15.75" customHeight="1">
      <c r="A195" s="33"/>
      <c r="B195" s="33"/>
      <c r="H195" s="33"/>
      <c r="I195" s="33"/>
      <c r="P195" s="33"/>
      <c r="Q195" s="33"/>
      <c r="X195" s="33"/>
      <c r="Y195" s="33"/>
    </row>
    <row r="196" spans="1:25" ht="15.75" customHeight="1">
      <c r="A196" s="33"/>
      <c r="B196" s="33"/>
      <c r="H196" s="33"/>
      <c r="I196" s="33"/>
      <c r="P196" s="33"/>
      <c r="Q196" s="33"/>
      <c r="X196" s="33"/>
      <c r="Y196" s="33"/>
    </row>
    <row r="197" spans="1:25" ht="15.75" customHeight="1">
      <c r="A197" s="33"/>
      <c r="B197" s="33"/>
      <c r="H197" s="33"/>
      <c r="I197" s="33"/>
      <c r="P197" s="33"/>
      <c r="Q197" s="33"/>
      <c r="X197" s="33"/>
      <c r="Y197" s="33"/>
    </row>
    <row r="198" spans="1:25" ht="15.75" customHeight="1">
      <c r="A198" s="33"/>
      <c r="B198" s="33"/>
      <c r="H198" s="33"/>
      <c r="I198" s="33"/>
      <c r="P198" s="33"/>
      <c r="Q198" s="33"/>
      <c r="X198" s="33"/>
      <c r="Y198" s="33"/>
    </row>
    <row r="199" spans="1:25" ht="15.75" customHeight="1">
      <c r="A199" s="33"/>
      <c r="B199" s="33"/>
      <c r="H199" s="33"/>
      <c r="I199" s="33"/>
      <c r="P199" s="33"/>
      <c r="Q199" s="33"/>
      <c r="X199" s="33"/>
      <c r="Y199" s="33"/>
    </row>
    <row r="200" spans="1:25" ht="15.75" customHeight="1">
      <c r="A200" s="33"/>
      <c r="B200" s="33"/>
      <c r="H200" s="33"/>
      <c r="I200" s="33"/>
      <c r="P200" s="33"/>
      <c r="Q200" s="33"/>
      <c r="X200" s="33"/>
      <c r="Y200" s="33"/>
    </row>
    <row r="201" spans="1:25" ht="15.75" customHeight="1">
      <c r="A201" s="33"/>
      <c r="B201" s="33"/>
      <c r="H201" s="33"/>
      <c r="I201" s="33"/>
      <c r="P201" s="33"/>
      <c r="Q201" s="33"/>
      <c r="X201" s="33"/>
      <c r="Y201" s="33"/>
    </row>
    <row r="202" spans="1:25" ht="15.75" customHeight="1">
      <c r="A202" s="33"/>
      <c r="B202" s="33"/>
      <c r="H202" s="33"/>
      <c r="I202" s="33"/>
      <c r="P202" s="33"/>
      <c r="Q202" s="33"/>
      <c r="X202" s="33"/>
      <c r="Y202" s="33"/>
    </row>
    <row r="203" spans="1:25" ht="15.75" customHeight="1">
      <c r="A203" s="33"/>
      <c r="B203" s="33"/>
      <c r="H203" s="33"/>
      <c r="I203" s="33"/>
      <c r="P203" s="33"/>
      <c r="Q203" s="33"/>
      <c r="X203" s="33"/>
      <c r="Y203" s="33"/>
    </row>
    <row r="204" spans="1:25" ht="15.75" customHeight="1">
      <c r="A204" s="33"/>
      <c r="B204" s="33"/>
      <c r="H204" s="33"/>
      <c r="I204" s="33"/>
      <c r="P204" s="33"/>
      <c r="Q204" s="33"/>
      <c r="X204" s="33"/>
      <c r="Y204" s="33"/>
    </row>
    <row r="205" spans="1:25" ht="15.75" customHeight="1">
      <c r="A205" s="33"/>
      <c r="B205" s="33"/>
      <c r="H205" s="33"/>
      <c r="I205" s="33"/>
      <c r="P205" s="33"/>
      <c r="Q205" s="33"/>
      <c r="X205" s="33"/>
      <c r="Y205" s="33"/>
    </row>
    <row r="206" spans="1:25" ht="15.75" customHeight="1">
      <c r="A206" s="33"/>
      <c r="B206" s="33"/>
      <c r="H206" s="33"/>
      <c r="I206" s="33"/>
      <c r="P206" s="33"/>
      <c r="Q206" s="33"/>
      <c r="X206" s="33"/>
      <c r="Y206" s="33"/>
    </row>
    <row r="207" spans="1:25" ht="15.75" customHeight="1">
      <c r="A207" s="33"/>
      <c r="B207" s="33"/>
      <c r="H207" s="33"/>
      <c r="I207" s="33"/>
      <c r="P207" s="33"/>
      <c r="Q207" s="33"/>
      <c r="X207" s="33"/>
      <c r="Y207" s="33"/>
    </row>
    <row r="208" spans="1:25" ht="15.75" customHeight="1">
      <c r="A208" s="33"/>
      <c r="B208" s="33"/>
      <c r="H208" s="33"/>
      <c r="I208" s="33"/>
      <c r="P208" s="33"/>
      <c r="Q208" s="33"/>
      <c r="X208" s="33"/>
      <c r="Y208" s="33"/>
    </row>
    <row r="209" spans="1:25" ht="15.75" customHeight="1">
      <c r="A209" s="33"/>
      <c r="B209" s="33"/>
      <c r="H209" s="33"/>
      <c r="I209" s="33"/>
      <c r="P209" s="33"/>
      <c r="Q209" s="33"/>
      <c r="X209" s="33"/>
      <c r="Y209" s="33"/>
    </row>
    <row r="210" spans="1:25" ht="15.75" customHeight="1">
      <c r="A210" s="33"/>
      <c r="B210" s="33"/>
      <c r="H210" s="33"/>
      <c r="I210" s="33"/>
      <c r="P210" s="33"/>
      <c r="Q210" s="33"/>
      <c r="X210" s="33"/>
      <c r="Y210" s="33"/>
    </row>
    <row r="211" spans="1:25" ht="15.75" customHeight="1">
      <c r="A211" s="33"/>
      <c r="B211" s="33"/>
      <c r="H211" s="33"/>
      <c r="I211" s="33"/>
      <c r="P211" s="33"/>
      <c r="Q211" s="33"/>
      <c r="X211" s="33"/>
      <c r="Y211" s="33"/>
    </row>
    <row r="212" spans="1:25" ht="15.75" customHeight="1">
      <c r="A212" s="33"/>
      <c r="B212" s="33"/>
      <c r="H212" s="33"/>
      <c r="I212" s="33"/>
      <c r="P212" s="33"/>
      <c r="Q212" s="33"/>
      <c r="X212" s="33"/>
      <c r="Y212" s="33"/>
    </row>
    <row r="213" spans="1:25" ht="15.75" customHeight="1">
      <c r="A213" s="33"/>
      <c r="B213" s="33"/>
      <c r="H213" s="33"/>
      <c r="I213" s="33"/>
      <c r="P213" s="33"/>
      <c r="Q213" s="33"/>
      <c r="X213" s="33"/>
      <c r="Y213" s="33"/>
    </row>
    <row r="214" spans="1:25" ht="15.75" customHeight="1">
      <c r="A214" s="33"/>
      <c r="B214" s="33"/>
      <c r="H214" s="33"/>
      <c r="I214" s="33"/>
      <c r="P214" s="33"/>
      <c r="Q214" s="33"/>
      <c r="X214" s="33"/>
      <c r="Y214" s="33"/>
    </row>
    <row r="215" spans="1:25" ht="15.75" customHeight="1">
      <c r="A215" s="33"/>
      <c r="B215" s="33"/>
      <c r="H215" s="33"/>
      <c r="I215" s="33"/>
      <c r="P215" s="33"/>
      <c r="Q215" s="33"/>
      <c r="X215" s="33"/>
      <c r="Y215" s="33"/>
    </row>
    <row r="216" spans="1:25" ht="15.75" customHeight="1">
      <c r="A216" s="33"/>
      <c r="B216" s="33"/>
      <c r="H216" s="33"/>
      <c r="I216" s="33"/>
      <c r="P216" s="33"/>
      <c r="Q216" s="33"/>
      <c r="X216" s="33"/>
      <c r="Y216" s="33"/>
    </row>
    <row r="217" spans="1:25" ht="15.75" customHeight="1">
      <c r="A217" s="33"/>
      <c r="B217" s="33"/>
      <c r="H217" s="33"/>
      <c r="I217" s="33"/>
      <c r="P217" s="33"/>
      <c r="Q217" s="33"/>
      <c r="X217" s="33"/>
      <c r="Y217" s="33"/>
    </row>
    <row r="218" spans="1:25" ht="15.75" customHeight="1">
      <c r="A218" s="33"/>
      <c r="B218" s="33"/>
      <c r="H218" s="33"/>
      <c r="I218" s="33"/>
      <c r="P218" s="33"/>
      <c r="Q218" s="33"/>
      <c r="X218" s="33"/>
      <c r="Y218" s="33"/>
    </row>
    <row r="219" spans="1:25" ht="15.75" customHeight="1">
      <c r="A219" s="33"/>
      <c r="B219" s="33"/>
      <c r="H219" s="33"/>
      <c r="I219" s="33"/>
      <c r="P219" s="33"/>
      <c r="Q219" s="33"/>
      <c r="X219" s="33"/>
      <c r="Y219" s="33"/>
    </row>
    <row r="220" spans="1:25" ht="15.75" customHeight="1">
      <c r="A220" s="33"/>
      <c r="B220" s="33"/>
      <c r="H220" s="33"/>
      <c r="I220" s="33"/>
      <c r="P220" s="33"/>
      <c r="Q220" s="33"/>
      <c r="X220" s="33"/>
      <c r="Y220" s="33"/>
    </row>
    <row r="221" spans="1:25" ht="15.75" customHeight="1">
      <c r="A221" s="33"/>
      <c r="B221" s="33"/>
      <c r="H221" s="33"/>
      <c r="I221" s="33"/>
      <c r="P221" s="33"/>
      <c r="Q221" s="33"/>
      <c r="X221" s="33"/>
      <c r="Y221" s="33"/>
    </row>
    <row r="222" spans="1:25" ht="15.75" customHeight="1">
      <c r="A222" s="33"/>
      <c r="B222" s="33"/>
      <c r="H222" s="33"/>
      <c r="I222" s="33"/>
      <c r="P222" s="33"/>
      <c r="Q222" s="33"/>
      <c r="X222" s="33"/>
      <c r="Y222" s="33"/>
    </row>
    <row r="223" spans="1:25" ht="15.75" customHeight="1">
      <c r="A223" s="33"/>
      <c r="B223" s="33"/>
      <c r="H223" s="33"/>
      <c r="I223" s="33"/>
      <c r="P223" s="33"/>
      <c r="Q223" s="33"/>
      <c r="X223" s="33"/>
      <c r="Y223" s="33"/>
    </row>
    <row r="224" spans="1:25" ht="15.75" customHeight="1">
      <c r="A224" s="33"/>
      <c r="B224" s="33"/>
      <c r="H224" s="33"/>
      <c r="I224" s="33"/>
      <c r="P224" s="33"/>
      <c r="Q224" s="33"/>
      <c r="X224" s="33"/>
      <c r="Y224" s="33"/>
    </row>
    <row r="225" spans="1:25" ht="15.75" customHeight="1">
      <c r="A225" s="33"/>
      <c r="B225" s="33"/>
      <c r="H225" s="33"/>
      <c r="I225" s="33"/>
      <c r="P225" s="33"/>
      <c r="Q225" s="33"/>
      <c r="X225" s="33"/>
      <c r="Y225" s="33"/>
    </row>
    <row r="226" spans="1:25" ht="15.75" customHeight="1">
      <c r="A226" s="33"/>
      <c r="B226" s="33"/>
      <c r="H226" s="33"/>
      <c r="I226" s="33"/>
      <c r="P226" s="33"/>
      <c r="Q226" s="33"/>
      <c r="X226" s="33"/>
      <c r="Y226" s="33"/>
    </row>
    <row r="227" spans="1:25" ht="15.75" customHeight="1">
      <c r="A227" s="33"/>
      <c r="B227" s="33"/>
      <c r="H227" s="33"/>
      <c r="I227" s="33"/>
      <c r="P227" s="33"/>
      <c r="Q227" s="33"/>
      <c r="X227" s="33"/>
      <c r="Y227" s="33"/>
    </row>
    <row r="228" spans="1:25" ht="15.75" customHeight="1">
      <c r="A228" s="33"/>
      <c r="B228" s="33"/>
      <c r="H228" s="33"/>
      <c r="I228" s="33"/>
      <c r="P228" s="33"/>
      <c r="Q228" s="33"/>
      <c r="X228" s="33"/>
      <c r="Y228" s="33"/>
    </row>
    <row r="229" spans="1:25" ht="15.75" customHeight="1">
      <c r="A229" s="33"/>
      <c r="B229" s="33"/>
      <c r="H229" s="33"/>
      <c r="I229" s="33"/>
      <c r="P229" s="33"/>
      <c r="Q229" s="33"/>
      <c r="X229" s="33"/>
      <c r="Y229" s="33"/>
    </row>
    <row r="230" spans="1:25" ht="15.75" customHeight="1">
      <c r="A230" s="33"/>
      <c r="B230" s="33"/>
      <c r="H230" s="33"/>
      <c r="I230" s="33"/>
      <c r="P230" s="33"/>
      <c r="Q230" s="33"/>
      <c r="X230" s="33"/>
      <c r="Y230" s="33"/>
    </row>
    <row r="231" spans="1:25" ht="15.75" customHeight="1">
      <c r="A231" s="33"/>
      <c r="B231" s="33"/>
      <c r="H231" s="33"/>
      <c r="I231" s="33"/>
      <c r="P231" s="33"/>
      <c r="Q231" s="33"/>
      <c r="X231" s="33"/>
      <c r="Y231" s="33"/>
    </row>
    <row r="232" spans="1:25" ht="15.75" customHeight="1">
      <c r="A232" s="33"/>
      <c r="B232" s="33"/>
      <c r="H232" s="33"/>
      <c r="I232" s="33"/>
      <c r="P232" s="33"/>
      <c r="Q232" s="33"/>
      <c r="X232" s="33"/>
      <c r="Y232" s="33"/>
    </row>
    <row r="233" spans="1:25" ht="15.75" customHeight="1">
      <c r="A233" s="33"/>
      <c r="B233" s="33"/>
      <c r="H233" s="33"/>
      <c r="I233" s="33"/>
      <c r="P233" s="33"/>
      <c r="Q233" s="33"/>
      <c r="X233" s="33"/>
      <c r="Y233" s="33"/>
    </row>
    <row r="234" spans="1:25" ht="15.75" customHeight="1">
      <c r="A234" s="33"/>
      <c r="B234" s="33"/>
      <c r="H234" s="33"/>
      <c r="I234" s="33"/>
      <c r="P234" s="33"/>
      <c r="Q234" s="33"/>
      <c r="X234" s="33"/>
      <c r="Y234" s="33"/>
    </row>
    <row r="235" spans="1:25" ht="15.75" customHeight="1">
      <c r="A235" s="33"/>
      <c r="B235" s="33"/>
      <c r="H235" s="33"/>
      <c r="I235" s="33"/>
      <c r="P235" s="33"/>
      <c r="Q235" s="33"/>
      <c r="X235" s="33"/>
      <c r="Y235" s="33"/>
    </row>
    <row r="236" spans="1:25" ht="15.75" customHeight="1">
      <c r="A236" s="33"/>
      <c r="B236" s="33"/>
      <c r="H236" s="33"/>
      <c r="I236" s="33"/>
      <c r="P236" s="33"/>
      <c r="Q236" s="33"/>
      <c r="X236" s="33"/>
      <c r="Y236" s="33"/>
    </row>
    <row r="237" spans="1:25" ht="15.75" customHeight="1">
      <c r="A237" s="33"/>
      <c r="B237" s="33"/>
      <c r="H237" s="33"/>
      <c r="I237" s="33"/>
      <c r="P237" s="33"/>
      <c r="Q237" s="33"/>
      <c r="X237" s="33"/>
      <c r="Y237" s="33"/>
    </row>
    <row r="238" spans="1:25" ht="15.75" customHeight="1">
      <c r="A238" s="33"/>
      <c r="B238" s="33"/>
      <c r="H238" s="33"/>
      <c r="I238" s="33"/>
      <c r="P238" s="33"/>
      <c r="Q238" s="33"/>
      <c r="X238" s="33"/>
      <c r="Y238" s="33"/>
    </row>
    <row r="239" spans="1:25" ht="15.75" customHeight="1">
      <c r="A239" s="33"/>
      <c r="B239" s="33"/>
      <c r="H239" s="33"/>
      <c r="I239" s="33"/>
      <c r="P239" s="33"/>
      <c r="Q239" s="33"/>
      <c r="X239" s="33"/>
      <c r="Y239" s="33"/>
    </row>
    <row r="240" spans="1:25" ht="15.75" customHeight="1">
      <c r="A240" s="33"/>
      <c r="B240" s="33"/>
      <c r="H240" s="33"/>
      <c r="I240" s="33"/>
      <c r="P240" s="33"/>
      <c r="Q240" s="33"/>
      <c r="X240" s="33"/>
      <c r="Y240" s="33"/>
    </row>
    <row r="241" spans="1:25" ht="15.75" customHeight="1">
      <c r="A241" s="33"/>
      <c r="B241" s="33"/>
      <c r="H241" s="33"/>
      <c r="I241" s="33"/>
      <c r="P241" s="33"/>
      <c r="Q241" s="33"/>
      <c r="X241" s="33"/>
      <c r="Y241" s="33"/>
    </row>
    <row r="242" spans="1:25" ht="15.75" customHeight="1">
      <c r="A242" s="33"/>
      <c r="B242" s="33"/>
      <c r="H242" s="33"/>
      <c r="I242" s="33"/>
      <c r="P242" s="33"/>
      <c r="Q242" s="33"/>
      <c r="X242" s="33"/>
      <c r="Y242" s="33"/>
    </row>
    <row r="243" spans="1:25" ht="15.75" customHeight="1">
      <c r="A243" s="33"/>
      <c r="B243" s="33"/>
      <c r="H243" s="33"/>
      <c r="I243" s="33"/>
      <c r="P243" s="33"/>
      <c r="Q243" s="33"/>
      <c r="X243" s="33"/>
      <c r="Y243" s="33"/>
    </row>
    <row r="244" spans="1:25" ht="15.75" customHeight="1">
      <c r="A244" s="33"/>
      <c r="B244" s="33"/>
      <c r="H244" s="33"/>
      <c r="I244" s="33"/>
      <c r="P244" s="33"/>
      <c r="Q244" s="33"/>
      <c r="X244" s="33"/>
      <c r="Y244" s="33"/>
    </row>
    <row r="245" spans="1:25" ht="15.75" customHeight="1">
      <c r="A245" s="33"/>
      <c r="B245" s="33"/>
      <c r="H245" s="33"/>
      <c r="I245" s="33"/>
      <c r="P245" s="33"/>
      <c r="Q245" s="33"/>
      <c r="X245" s="33"/>
      <c r="Y245" s="33"/>
    </row>
    <row r="246" spans="1:25" ht="15.75" customHeight="1">
      <c r="A246" s="33"/>
      <c r="B246" s="33"/>
      <c r="H246" s="33"/>
      <c r="I246" s="33"/>
      <c r="P246" s="33"/>
      <c r="Q246" s="33"/>
      <c r="X246" s="33"/>
      <c r="Y246" s="33"/>
    </row>
    <row r="247" spans="1:25" ht="15.75" customHeight="1">
      <c r="A247" s="33"/>
      <c r="B247" s="33"/>
      <c r="H247" s="33"/>
      <c r="I247" s="33"/>
      <c r="P247" s="33"/>
      <c r="Q247" s="33"/>
      <c r="X247" s="33"/>
      <c r="Y247" s="33"/>
    </row>
    <row r="248" spans="1:25" ht="15.75" customHeight="1">
      <c r="A248" s="33"/>
      <c r="B248" s="33"/>
      <c r="H248" s="33"/>
      <c r="I248" s="33"/>
      <c r="P248" s="33"/>
      <c r="Q248" s="33"/>
      <c r="X248" s="33"/>
      <c r="Y248" s="33"/>
    </row>
    <row r="249" spans="1:25" ht="15.75" customHeight="1">
      <c r="A249" s="33"/>
      <c r="B249" s="33"/>
      <c r="H249" s="33"/>
      <c r="I249" s="33"/>
      <c r="P249" s="33"/>
      <c r="Q249" s="33"/>
      <c r="X249" s="33"/>
      <c r="Y249" s="33"/>
    </row>
    <row r="250" spans="1:25" ht="15.75" customHeight="1">
      <c r="A250" s="33"/>
      <c r="B250" s="33"/>
      <c r="H250" s="33"/>
      <c r="I250" s="33"/>
      <c r="P250" s="33"/>
      <c r="Q250" s="33"/>
      <c r="X250" s="33"/>
      <c r="Y250" s="33"/>
    </row>
    <row r="251" spans="1:25" ht="15.75" customHeight="1">
      <c r="A251" s="33"/>
      <c r="B251" s="33"/>
      <c r="H251" s="33"/>
      <c r="I251" s="33"/>
      <c r="P251" s="33"/>
      <c r="Q251" s="33"/>
      <c r="X251" s="33"/>
      <c r="Y251" s="33"/>
    </row>
    <row r="252" spans="1:25" ht="15.75" customHeight="1">
      <c r="A252" s="33"/>
      <c r="B252" s="33"/>
      <c r="H252" s="33"/>
      <c r="I252" s="33"/>
      <c r="P252" s="33"/>
      <c r="Q252" s="33"/>
      <c r="X252" s="33"/>
      <c r="Y252" s="33"/>
    </row>
    <row r="253" spans="1:25" ht="15.75" customHeight="1">
      <c r="A253" s="33"/>
      <c r="B253" s="33"/>
      <c r="H253" s="33"/>
      <c r="I253" s="33"/>
      <c r="P253" s="33"/>
      <c r="Q253" s="33"/>
      <c r="X253" s="33"/>
      <c r="Y253" s="33"/>
    </row>
    <row r="254" spans="1:25" ht="15.75" customHeight="1">
      <c r="A254" s="33"/>
      <c r="B254" s="33"/>
      <c r="H254" s="33"/>
      <c r="I254" s="33"/>
      <c r="P254" s="33"/>
      <c r="Q254" s="33"/>
      <c r="X254" s="33"/>
      <c r="Y254" s="33"/>
    </row>
    <row r="255" spans="1:25" ht="15.75" customHeight="1">
      <c r="A255" s="33"/>
      <c r="B255" s="33"/>
      <c r="H255" s="33"/>
      <c r="I255" s="33"/>
      <c r="P255" s="33"/>
      <c r="Q255" s="33"/>
      <c r="X255" s="33"/>
      <c r="Y255" s="33"/>
    </row>
    <row r="256" spans="1:25" ht="15.75" customHeight="1">
      <c r="A256" s="33"/>
      <c r="B256" s="33"/>
      <c r="H256" s="33"/>
      <c r="I256" s="33"/>
      <c r="P256" s="33"/>
      <c r="Q256" s="33"/>
      <c r="X256" s="33"/>
      <c r="Y256" s="33"/>
    </row>
    <row r="257" spans="1:25" ht="15.75" customHeight="1">
      <c r="A257" s="33"/>
      <c r="B257" s="33"/>
      <c r="H257" s="33"/>
      <c r="I257" s="33"/>
      <c r="P257" s="33"/>
      <c r="Q257" s="33"/>
      <c r="X257" s="33"/>
      <c r="Y257" s="33"/>
    </row>
    <row r="258" spans="1:25" ht="15.75" customHeight="1">
      <c r="A258" s="33"/>
      <c r="B258" s="33"/>
      <c r="H258" s="33"/>
      <c r="I258" s="33"/>
      <c r="P258" s="33"/>
      <c r="Q258" s="33"/>
      <c r="X258" s="33"/>
      <c r="Y258" s="33"/>
    </row>
    <row r="259" spans="1:25" ht="15.75" customHeight="1">
      <c r="A259" s="33"/>
      <c r="B259" s="33"/>
      <c r="H259" s="33"/>
      <c r="I259" s="33"/>
      <c r="P259" s="33"/>
      <c r="Q259" s="33"/>
      <c r="X259" s="33"/>
      <c r="Y259" s="33"/>
    </row>
    <row r="260" spans="1:25" ht="15.75" customHeight="1">
      <c r="A260" s="33"/>
      <c r="B260" s="33"/>
      <c r="H260" s="33"/>
      <c r="I260" s="33"/>
      <c r="P260" s="33"/>
      <c r="Q260" s="33"/>
      <c r="X260" s="33"/>
      <c r="Y260" s="33"/>
    </row>
    <row r="261" spans="1:25" ht="15.75" customHeight="1">
      <c r="A261" s="33"/>
      <c r="B261" s="33"/>
      <c r="H261" s="33"/>
      <c r="I261" s="33"/>
      <c r="P261" s="33"/>
      <c r="Q261" s="33"/>
      <c r="X261" s="33"/>
      <c r="Y261" s="33"/>
    </row>
    <row r="262" spans="1:25" ht="15.75" customHeight="1">
      <c r="A262" s="33"/>
      <c r="B262" s="33"/>
      <c r="H262" s="33"/>
      <c r="I262" s="33"/>
      <c r="P262" s="33"/>
      <c r="Q262" s="33"/>
      <c r="X262" s="33"/>
      <c r="Y262" s="33"/>
    </row>
    <row r="263" spans="1:25" ht="15.75" customHeight="1">
      <c r="A263" s="33"/>
      <c r="B263" s="33"/>
      <c r="H263" s="33"/>
      <c r="I263" s="33"/>
      <c r="P263" s="33"/>
      <c r="Q263" s="33"/>
      <c r="X263" s="33"/>
      <c r="Y263" s="33"/>
    </row>
    <row r="264" spans="1:25" ht="15.75" customHeight="1">
      <c r="A264" s="33"/>
      <c r="B264" s="33"/>
      <c r="H264" s="33"/>
      <c r="I264" s="33"/>
      <c r="P264" s="33"/>
      <c r="Q264" s="33"/>
      <c r="X264" s="33"/>
      <c r="Y264" s="33"/>
    </row>
    <row r="265" spans="1:25" ht="15.75" customHeight="1">
      <c r="A265" s="33"/>
      <c r="B265" s="33"/>
      <c r="H265" s="33"/>
      <c r="I265" s="33"/>
      <c r="P265" s="33"/>
      <c r="Q265" s="33"/>
      <c r="X265" s="33"/>
      <c r="Y265" s="33"/>
    </row>
    <row r="266" spans="1:25" ht="15.75" customHeight="1">
      <c r="A266" s="33"/>
      <c r="B266" s="33"/>
      <c r="H266" s="33"/>
      <c r="I266" s="33"/>
      <c r="P266" s="33"/>
      <c r="Q266" s="33"/>
      <c r="X266" s="33"/>
      <c r="Y266" s="33"/>
    </row>
    <row r="267" spans="1:25" ht="15.75" customHeight="1">
      <c r="A267" s="33"/>
      <c r="B267" s="33"/>
      <c r="H267" s="33"/>
      <c r="I267" s="33"/>
      <c r="P267" s="33"/>
      <c r="Q267" s="33"/>
      <c r="X267" s="33"/>
      <c r="Y267" s="33"/>
    </row>
    <row r="268" spans="1:25" ht="15.75" customHeight="1">
      <c r="A268" s="33"/>
      <c r="B268" s="33"/>
      <c r="H268" s="33"/>
      <c r="I268" s="33"/>
      <c r="P268" s="33"/>
      <c r="Q268" s="33"/>
      <c r="X268" s="33"/>
      <c r="Y268" s="33"/>
    </row>
    <row r="269" spans="1:25" ht="15.75" customHeight="1">
      <c r="A269" s="33"/>
      <c r="B269" s="33"/>
      <c r="H269" s="33"/>
      <c r="I269" s="33"/>
      <c r="P269" s="33"/>
      <c r="Q269" s="33"/>
      <c r="X269" s="33"/>
      <c r="Y269" s="33"/>
    </row>
    <row r="270" spans="1:25" ht="15.75" customHeight="1">
      <c r="A270" s="33"/>
      <c r="B270" s="33"/>
      <c r="H270" s="33"/>
      <c r="I270" s="33"/>
      <c r="P270" s="33"/>
      <c r="Q270" s="33"/>
      <c r="X270" s="33"/>
      <c r="Y270" s="33"/>
    </row>
    <row r="271" spans="1:25" ht="15.75" customHeight="1">
      <c r="A271" s="33"/>
      <c r="B271" s="33"/>
      <c r="H271" s="33"/>
      <c r="I271" s="33"/>
      <c r="P271" s="33"/>
      <c r="Q271" s="33"/>
      <c r="X271" s="33"/>
      <c r="Y271" s="33"/>
    </row>
    <row r="272" spans="1:25" ht="15.75" customHeight="1">
      <c r="A272" s="33"/>
      <c r="B272" s="33"/>
      <c r="H272" s="33"/>
      <c r="I272" s="33"/>
      <c r="P272" s="33"/>
      <c r="Q272" s="33"/>
      <c r="X272" s="33"/>
      <c r="Y272" s="33"/>
    </row>
    <row r="273" spans="1:25" ht="15.75" customHeight="1">
      <c r="A273" s="33"/>
      <c r="B273" s="33"/>
      <c r="H273" s="33"/>
      <c r="I273" s="33"/>
      <c r="P273" s="33"/>
      <c r="Q273" s="33"/>
      <c r="X273" s="33"/>
      <c r="Y273" s="33"/>
    </row>
    <row r="274" spans="1:25" ht="15.75" customHeight="1">
      <c r="A274" s="33"/>
      <c r="B274" s="33"/>
      <c r="H274" s="33"/>
      <c r="I274" s="33"/>
      <c r="P274" s="33"/>
      <c r="Q274" s="33"/>
      <c r="X274" s="33"/>
      <c r="Y274" s="33"/>
    </row>
    <row r="275" spans="1:25" ht="15.75" customHeight="1">
      <c r="A275" s="33"/>
      <c r="B275" s="33"/>
      <c r="H275" s="33"/>
      <c r="I275" s="33"/>
      <c r="P275" s="33"/>
      <c r="Q275" s="33"/>
      <c r="X275" s="33"/>
      <c r="Y275" s="33"/>
    </row>
    <row r="276" spans="1:25" ht="15.75" customHeight="1">
      <c r="A276" s="33"/>
      <c r="B276" s="33"/>
      <c r="H276" s="33"/>
      <c r="I276" s="33"/>
      <c r="P276" s="33"/>
      <c r="Q276" s="33"/>
      <c r="X276" s="33"/>
      <c r="Y276" s="33"/>
    </row>
    <row r="277" spans="1:25" ht="15.75" customHeight="1">
      <c r="A277" s="33"/>
      <c r="B277" s="33"/>
      <c r="H277" s="33"/>
      <c r="I277" s="33"/>
      <c r="P277" s="33"/>
      <c r="Q277" s="33"/>
      <c r="X277" s="33"/>
      <c r="Y277" s="33"/>
    </row>
    <row r="278" spans="1:25" ht="15.75" customHeight="1">
      <c r="A278" s="33"/>
      <c r="B278" s="33"/>
      <c r="H278" s="33"/>
      <c r="I278" s="33"/>
      <c r="P278" s="33"/>
      <c r="Q278" s="33"/>
      <c r="X278" s="33"/>
      <c r="Y278" s="33"/>
    </row>
    <row r="279" spans="1:25" ht="15.75" customHeight="1">
      <c r="A279" s="33"/>
      <c r="B279" s="33"/>
      <c r="H279" s="33"/>
      <c r="I279" s="33"/>
      <c r="P279" s="33"/>
      <c r="Q279" s="33"/>
      <c r="X279" s="33"/>
      <c r="Y279" s="33"/>
    </row>
    <row r="280" spans="1:25" ht="15.75" customHeight="1">
      <c r="A280" s="33"/>
      <c r="B280" s="33"/>
      <c r="H280" s="33"/>
      <c r="I280" s="33"/>
      <c r="P280" s="33"/>
      <c r="Q280" s="33"/>
      <c r="X280" s="33"/>
      <c r="Y280" s="33"/>
    </row>
    <row r="281" spans="1:25" ht="15.75" customHeight="1">
      <c r="A281" s="33"/>
      <c r="B281" s="33"/>
      <c r="H281" s="33"/>
      <c r="I281" s="33"/>
      <c r="P281" s="33"/>
      <c r="Q281" s="33"/>
      <c r="X281" s="33"/>
      <c r="Y281" s="33"/>
    </row>
    <row r="282" spans="1:25" ht="15.75" customHeight="1">
      <c r="A282" s="33"/>
      <c r="B282" s="33"/>
      <c r="H282" s="33"/>
      <c r="I282" s="33"/>
      <c r="P282" s="33"/>
      <c r="Q282" s="33"/>
      <c r="X282" s="33"/>
      <c r="Y282" s="33"/>
    </row>
    <row r="283" spans="1:25" ht="15.75" customHeight="1">
      <c r="A283" s="33"/>
      <c r="B283" s="33"/>
      <c r="H283" s="33"/>
      <c r="I283" s="33"/>
      <c r="P283" s="33"/>
      <c r="Q283" s="33"/>
      <c r="X283" s="33"/>
      <c r="Y283" s="33"/>
    </row>
    <row r="284" spans="1:25" ht="15.75" customHeight="1">
      <c r="A284" s="33"/>
      <c r="B284" s="33"/>
      <c r="H284" s="33"/>
      <c r="I284" s="33"/>
      <c r="P284" s="33"/>
      <c r="Q284" s="33"/>
      <c r="X284" s="33"/>
      <c r="Y284" s="33"/>
    </row>
    <row r="285" spans="1:25" ht="15.75" customHeight="1">
      <c r="A285" s="33"/>
      <c r="B285" s="33"/>
      <c r="H285" s="33"/>
      <c r="I285" s="33"/>
      <c r="P285" s="33"/>
      <c r="Q285" s="33"/>
      <c r="X285" s="33"/>
      <c r="Y285" s="33"/>
    </row>
    <row r="286" spans="1:25" ht="15.75" customHeight="1">
      <c r="A286" s="33"/>
      <c r="B286" s="33"/>
      <c r="H286" s="33"/>
      <c r="I286" s="33"/>
      <c r="P286" s="33"/>
      <c r="Q286" s="33"/>
      <c r="X286" s="33"/>
      <c r="Y286" s="33"/>
    </row>
    <row r="287" spans="1:25" ht="15.75" customHeight="1">
      <c r="A287" s="33"/>
      <c r="B287" s="33"/>
      <c r="H287" s="33"/>
      <c r="I287" s="33"/>
      <c r="P287" s="33"/>
      <c r="Q287" s="33"/>
      <c r="X287" s="33"/>
      <c r="Y287" s="33"/>
    </row>
    <row r="288" spans="1:25" ht="15.75" customHeight="1">
      <c r="A288" s="33"/>
      <c r="B288" s="33"/>
      <c r="H288" s="33"/>
      <c r="I288" s="33"/>
      <c r="P288" s="33"/>
      <c r="Q288" s="33"/>
      <c r="X288" s="33"/>
      <c r="Y288" s="33"/>
    </row>
    <row r="289" spans="1:25" ht="15.75" customHeight="1">
      <c r="A289" s="33"/>
      <c r="B289" s="33"/>
      <c r="H289" s="33"/>
      <c r="I289" s="33"/>
      <c r="P289" s="33"/>
      <c r="Q289" s="33"/>
      <c r="X289" s="33"/>
      <c r="Y289" s="33"/>
    </row>
    <row r="290" spans="1:25" ht="15.75" customHeight="1">
      <c r="A290" s="33"/>
      <c r="B290" s="33"/>
      <c r="H290" s="33"/>
      <c r="I290" s="33"/>
      <c r="P290" s="33"/>
      <c r="Q290" s="33"/>
      <c r="X290" s="33"/>
      <c r="Y290" s="33"/>
    </row>
    <row r="291" spans="1:25" ht="15.75" customHeight="1">
      <c r="A291" s="33"/>
      <c r="B291" s="33"/>
      <c r="H291" s="33"/>
      <c r="I291" s="33"/>
      <c r="P291" s="33"/>
      <c r="Q291" s="33"/>
      <c r="X291" s="33"/>
      <c r="Y291" s="33"/>
    </row>
    <row r="292" spans="1:25" ht="15.75" customHeight="1">
      <c r="A292" s="33"/>
      <c r="B292" s="33"/>
      <c r="H292" s="33"/>
      <c r="I292" s="33"/>
      <c r="P292" s="33"/>
      <c r="Q292" s="33"/>
      <c r="X292" s="33"/>
      <c r="Y292" s="33"/>
    </row>
    <row r="293" spans="1:25" ht="15.75" customHeight="1">
      <c r="A293" s="33"/>
      <c r="B293" s="33"/>
      <c r="H293" s="33"/>
      <c r="I293" s="33"/>
      <c r="P293" s="33"/>
      <c r="Q293" s="33"/>
      <c r="X293" s="33"/>
      <c r="Y293" s="33"/>
    </row>
    <row r="294" spans="1:25" ht="15.75" customHeight="1">
      <c r="A294" s="33"/>
      <c r="B294" s="33"/>
      <c r="H294" s="33"/>
      <c r="I294" s="33"/>
      <c r="P294" s="33"/>
      <c r="Q294" s="33"/>
      <c r="X294" s="33"/>
      <c r="Y294" s="33"/>
    </row>
    <row r="295" spans="1:25" ht="15.75" customHeight="1">
      <c r="A295" s="33"/>
      <c r="B295" s="33"/>
      <c r="H295" s="33"/>
      <c r="I295" s="33"/>
      <c r="P295" s="33"/>
      <c r="Q295" s="33"/>
      <c r="X295" s="33"/>
      <c r="Y295" s="33"/>
    </row>
    <row r="296" spans="1:25" ht="15.75" customHeight="1">
      <c r="A296" s="33"/>
      <c r="B296" s="33"/>
      <c r="H296" s="33"/>
      <c r="I296" s="33"/>
      <c r="P296" s="33"/>
      <c r="Q296" s="33"/>
      <c r="X296" s="33"/>
      <c r="Y296" s="33"/>
    </row>
    <row r="297" spans="1:25" ht="15.75" customHeight="1">
      <c r="A297" s="33"/>
      <c r="B297" s="33"/>
      <c r="H297" s="33"/>
      <c r="I297" s="33"/>
      <c r="P297" s="33"/>
      <c r="Q297" s="33"/>
      <c r="X297" s="33"/>
      <c r="Y297" s="33"/>
    </row>
    <row r="298" spans="1:25" ht="15.75" customHeight="1">
      <c r="A298" s="33"/>
      <c r="B298" s="33"/>
      <c r="H298" s="33"/>
      <c r="I298" s="33"/>
      <c r="P298" s="33"/>
      <c r="Q298" s="33"/>
      <c r="X298" s="33"/>
      <c r="Y298" s="33"/>
    </row>
    <row r="299" spans="1:25" ht="15.75" customHeight="1">
      <c r="A299" s="33"/>
      <c r="B299" s="33"/>
      <c r="H299" s="33"/>
      <c r="I299" s="33"/>
      <c r="P299" s="33"/>
      <c r="Q299" s="33"/>
      <c r="X299" s="33"/>
      <c r="Y299" s="33"/>
    </row>
    <row r="300" spans="1:25" ht="15.75" customHeight="1">
      <c r="A300" s="33"/>
      <c r="B300" s="33"/>
      <c r="H300" s="33"/>
      <c r="I300" s="33"/>
      <c r="P300" s="33"/>
      <c r="Q300" s="33"/>
      <c r="X300" s="33"/>
      <c r="Y300" s="33"/>
    </row>
    <row r="301" spans="1:25" ht="15.75" customHeight="1">
      <c r="A301" s="33"/>
      <c r="B301" s="33"/>
      <c r="H301" s="33"/>
      <c r="I301" s="33"/>
      <c r="P301" s="33"/>
      <c r="Q301" s="33"/>
      <c r="X301" s="33"/>
      <c r="Y301" s="33"/>
    </row>
    <row r="302" spans="1:25" ht="15.75" customHeight="1">
      <c r="A302" s="33"/>
      <c r="B302" s="33"/>
      <c r="H302" s="33"/>
      <c r="I302" s="33"/>
      <c r="P302" s="33"/>
      <c r="Q302" s="33"/>
      <c r="X302" s="33"/>
      <c r="Y302" s="33"/>
    </row>
    <row r="303" spans="1:25" ht="15.75" customHeight="1">
      <c r="A303" s="33"/>
      <c r="B303" s="33"/>
      <c r="H303" s="33"/>
      <c r="I303" s="33"/>
      <c r="P303" s="33"/>
      <c r="Q303" s="33"/>
      <c r="X303" s="33"/>
      <c r="Y303" s="33"/>
    </row>
    <row r="304" spans="1:25" ht="15.75" customHeight="1">
      <c r="A304" s="33"/>
      <c r="B304" s="33"/>
      <c r="H304" s="33"/>
      <c r="I304" s="33"/>
      <c r="P304" s="33"/>
      <c r="Q304" s="33"/>
      <c r="X304" s="33"/>
      <c r="Y304" s="33"/>
    </row>
    <row r="305" spans="1:25" ht="15.75" customHeight="1">
      <c r="A305" s="33"/>
      <c r="B305" s="33"/>
      <c r="H305" s="33"/>
      <c r="I305" s="33"/>
      <c r="P305" s="33"/>
      <c r="Q305" s="33"/>
      <c r="X305" s="33"/>
      <c r="Y305" s="33"/>
    </row>
    <row r="306" spans="1:25" ht="15.75" customHeight="1">
      <c r="A306" s="33"/>
      <c r="B306" s="33"/>
      <c r="H306" s="33"/>
      <c r="I306" s="33"/>
      <c r="P306" s="33"/>
      <c r="Q306" s="33"/>
      <c r="X306" s="33"/>
      <c r="Y306" s="33"/>
    </row>
    <row r="307" spans="1:25" ht="15.75" customHeight="1">
      <c r="A307" s="33"/>
      <c r="B307" s="33"/>
      <c r="H307" s="33"/>
      <c r="I307" s="33"/>
      <c r="P307" s="33"/>
      <c r="Q307" s="33"/>
      <c r="X307" s="33"/>
      <c r="Y307" s="33"/>
    </row>
    <row r="308" spans="1:25" ht="15.75" customHeight="1">
      <c r="A308" s="33"/>
      <c r="B308" s="33"/>
      <c r="H308" s="33"/>
      <c r="I308" s="33"/>
      <c r="P308" s="33"/>
      <c r="Q308" s="33"/>
      <c r="X308" s="33"/>
      <c r="Y308" s="33"/>
    </row>
    <row r="309" spans="1:25" ht="15.75" customHeight="1">
      <c r="A309" s="33"/>
      <c r="B309" s="33"/>
      <c r="H309" s="33"/>
      <c r="I309" s="33"/>
      <c r="P309" s="33"/>
      <c r="Q309" s="33"/>
      <c r="X309" s="33"/>
      <c r="Y309" s="33"/>
    </row>
    <row r="310" spans="1:25" ht="15.75" customHeight="1">
      <c r="A310" s="33"/>
      <c r="B310" s="33"/>
      <c r="H310" s="33"/>
      <c r="I310" s="33"/>
      <c r="P310" s="33"/>
      <c r="Q310" s="33"/>
      <c r="X310" s="33"/>
      <c r="Y310" s="33"/>
    </row>
    <row r="311" spans="1:25" ht="15.75" customHeight="1">
      <c r="A311" s="33"/>
      <c r="B311" s="33"/>
      <c r="H311" s="33"/>
      <c r="I311" s="33"/>
      <c r="P311" s="33"/>
      <c r="Q311" s="33"/>
      <c r="X311" s="33"/>
      <c r="Y311" s="33"/>
    </row>
    <row r="312" spans="1:25" ht="15.75" customHeight="1">
      <c r="A312" s="33"/>
      <c r="B312" s="33"/>
      <c r="H312" s="33"/>
      <c r="I312" s="33"/>
      <c r="P312" s="33"/>
      <c r="Q312" s="33"/>
      <c r="X312" s="33"/>
      <c r="Y312" s="33"/>
    </row>
    <row r="313" spans="1:25" ht="15.75" customHeight="1">
      <c r="A313" s="33"/>
      <c r="B313" s="33"/>
      <c r="H313" s="33"/>
      <c r="I313" s="33"/>
      <c r="P313" s="33"/>
      <c r="Q313" s="33"/>
      <c r="X313" s="33"/>
      <c r="Y313" s="33"/>
    </row>
    <row r="314" spans="1:25" ht="15.75" customHeight="1">
      <c r="A314" s="33"/>
      <c r="B314" s="33"/>
      <c r="H314" s="33"/>
      <c r="I314" s="33"/>
      <c r="P314" s="33"/>
      <c r="Q314" s="33"/>
      <c r="X314" s="33"/>
      <c r="Y314" s="33"/>
    </row>
    <row r="315" spans="1:25" ht="15.75" customHeight="1">
      <c r="A315" s="33"/>
      <c r="B315" s="33"/>
      <c r="H315" s="33"/>
      <c r="I315" s="33"/>
      <c r="P315" s="33"/>
      <c r="Q315" s="33"/>
      <c r="X315" s="33"/>
      <c r="Y315" s="33"/>
    </row>
    <row r="316" spans="1:25" ht="15.75" customHeight="1">
      <c r="A316" s="33"/>
      <c r="B316" s="33"/>
      <c r="H316" s="33"/>
      <c r="I316" s="33"/>
      <c r="P316" s="33"/>
      <c r="Q316" s="33"/>
      <c r="X316" s="33"/>
      <c r="Y316" s="33"/>
    </row>
    <row r="317" spans="1:25" ht="15.75" customHeight="1">
      <c r="A317" s="33"/>
      <c r="B317" s="33"/>
      <c r="H317" s="33"/>
      <c r="I317" s="33"/>
      <c r="P317" s="33"/>
      <c r="Q317" s="33"/>
      <c r="X317" s="33"/>
      <c r="Y317" s="33"/>
    </row>
    <row r="318" spans="1:25" ht="15.75" customHeight="1">
      <c r="A318" s="33"/>
      <c r="B318" s="33"/>
      <c r="H318" s="33"/>
      <c r="I318" s="33"/>
      <c r="P318" s="33"/>
      <c r="Q318" s="33"/>
      <c r="X318" s="33"/>
      <c r="Y318" s="33"/>
    </row>
    <row r="319" spans="1:25" ht="15.75" customHeight="1">
      <c r="A319" s="33"/>
      <c r="B319" s="33"/>
      <c r="H319" s="33"/>
      <c r="I319" s="33"/>
      <c r="P319" s="33"/>
      <c r="Q319" s="33"/>
      <c r="X319" s="33"/>
      <c r="Y319" s="33"/>
    </row>
    <row r="320" spans="1:25" ht="15.75" customHeight="1">
      <c r="A320" s="33"/>
      <c r="B320" s="33"/>
      <c r="H320" s="33"/>
      <c r="I320" s="33"/>
      <c r="P320" s="33"/>
      <c r="Q320" s="33"/>
      <c r="X320" s="33"/>
      <c r="Y320" s="33"/>
    </row>
    <row r="321" spans="1:25" ht="15.75" customHeight="1">
      <c r="A321" s="33"/>
      <c r="B321" s="33"/>
      <c r="H321" s="33"/>
      <c r="I321" s="33"/>
      <c r="P321" s="33"/>
      <c r="Q321" s="33"/>
      <c r="X321" s="33"/>
      <c r="Y321" s="33"/>
    </row>
    <row r="322" spans="1:25" ht="15.75" customHeight="1">
      <c r="A322" s="33"/>
      <c r="B322" s="33"/>
      <c r="H322" s="33"/>
      <c r="I322" s="33"/>
      <c r="P322" s="33"/>
      <c r="Q322" s="33"/>
      <c r="X322" s="33"/>
      <c r="Y322" s="33"/>
    </row>
    <row r="323" spans="1:25" ht="15.75" customHeight="1">
      <c r="A323" s="33"/>
      <c r="B323" s="33"/>
      <c r="H323" s="33"/>
      <c r="I323" s="33"/>
      <c r="P323" s="33"/>
      <c r="Q323" s="33"/>
      <c r="X323" s="33"/>
      <c r="Y323" s="33"/>
    </row>
    <row r="324" spans="1:25" ht="15.75" customHeight="1">
      <c r="A324" s="33"/>
      <c r="B324" s="33"/>
      <c r="H324" s="33"/>
      <c r="I324" s="33"/>
      <c r="P324" s="33"/>
      <c r="Q324" s="33"/>
      <c r="X324" s="33"/>
      <c r="Y324" s="33"/>
    </row>
    <row r="325" spans="1:25" ht="15.75" customHeight="1">
      <c r="A325" s="33"/>
      <c r="B325" s="33"/>
      <c r="H325" s="33"/>
      <c r="I325" s="33"/>
      <c r="P325" s="33"/>
      <c r="Q325" s="33"/>
      <c r="X325" s="33"/>
      <c r="Y325" s="33"/>
    </row>
    <row r="326" spans="1:25" ht="15.75" customHeight="1">
      <c r="A326" s="33"/>
      <c r="B326" s="33"/>
      <c r="H326" s="33"/>
      <c r="I326" s="33"/>
      <c r="P326" s="33"/>
      <c r="Q326" s="33"/>
      <c r="X326" s="33"/>
      <c r="Y326" s="33"/>
    </row>
    <row r="327" spans="1:25" ht="15.75" customHeight="1">
      <c r="A327" s="33"/>
      <c r="B327" s="33"/>
      <c r="H327" s="33"/>
      <c r="I327" s="33"/>
      <c r="P327" s="33"/>
      <c r="Q327" s="33"/>
      <c r="X327" s="33"/>
      <c r="Y327" s="33"/>
    </row>
    <row r="328" spans="1:25" ht="15.75" customHeight="1">
      <c r="A328" s="33"/>
      <c r="B328" s="33"/>
      <c r="H328" s="33"/>
      <c r="I328" s="33"/>
      <c r="P328" s="33"/>
      <c r="Q328" s="33"/>
      <c r="X328" s="33"/>
      <c r="Y328" s="33"/>
    </row>
    <row r="329" spans="1:25" ht="15.75" customHeight="1">
      <c r="A329" s="33"/>
      <c r="B329" s="33"/>
      <c r="H329" s="33"/>
      <c r="I329" s="33"/>
      <c r="P329" s="33"/>
      <c r="Q329" s="33"/>
      <c r="X329" s="33"/>
      <c r="Y329" s="33"/>
    </row>
    <row r="330" spans="1:25" ht="15.75" customHeight="1">
      <c r="A330" s="33"/>
      <c r="B330" s="33"/>
      <c r="H330" s="33"/>
      <c r="I330" s="33"/>
      <c r="P330" s="33"/>
      <c r="Q330" s="33"/>
      <c r="X330" s="33"/>
      <c r="Y330" s="33"/>
    </row>
    <row r="331" spans="1:25" ht="15.75" customHeight="1">
      <c r="A331" s="33"/>
      <c r="B331" s="33"/>
      <c r="H331" s="33"/>
      <c r="I331" s="33"/>
      <c r="P331" s="33"/>
      <c r="Q331" s="33"/>
      <c r="X331" s="33"/>
      <c r="Y331" s="33"/>
    </row>
    <row r="332" spans="1:25" ht="15.75" customHeight="1">
      <c r="A332" s="33"/>
      <c r="B332" s="33"/>
      <c r="H332" s="33"/>
      <c r="I332" s="33"/>
      <c r="P332" s="33"/>
      <c r="Q332" s="33"/>
      <c r="X332" s="33"/>
      <c r="Y332" s="33"/>
    </row>
    <row r="333" spans="1:25" ht="15.75" customHeight="1">
      <c r="A333" s="33"/>
      <c r="B333" s="33"/>
      <c r="H333" s="33"/>
      <c r="I333" s="33"/>
      <c r="P333" s="33"/>
      <c r="Q333" s="33"/>
      <c r="X333" s="33"/>
      <c r="Y333" s="33"/>
    </row>
    <row r="334" spans="1:25" ht="15.75" customHeight="1">
      <c r="A334" s="33"/>
      <c r="B334" s="33"/>
      <c r="H334" s="33"/>
      <c r="I334" s="33"/>
      <c r="P334" s="33"/>
      <c r="Q334" s="33"/>
      <c r="X334" s="33"/>
      <c r="Y334" s="33"/>
    </row>
    <row r="335" spans="1:25" ht="15.75" customHeight="1">
      <c r="A335" s="33"/>
      <c r="B335" s="33"/>
      <c r="H335" s="33"/>
      <c r="I335" s="33"/>
      <c r="P335" s="33"/>
      <c r="Q335" s="33"/>
      <c r="X335" s="33"/>
      <c r="Y335" s="33"/>
    </row>
    <row r="336" spans="1:25" ht="15.75" customHeight="1">
      <c r="A336" s="33"/>
      <c r="B336" s="33"/>
      <c r="H336" s="33"/>
      <c r="I336" s="33"/>
      <c r="P336" s="33"/>
      <c r="Q336" s="33"/>
      <c r="X336" s="33"/>
      <c r="Y336" s="33"/>
    </row>
    <row r="337" spans="1:25" ht="15.75" customHeight="1">
      <c r="A337" s="33"/>
      <c r="B337" s="33"/>
      <c r="H337" s="33"/>
      <c r="I337" s="33"/>
      <c r="P337" s="33"/>
      <c r="Q337" s="33"/>
      <c r="X337" s="33"/>
      <c r="Y337" s="33"/>
    </row>
    <row r="338" spans="1:25" ht="15.75" customHeight="1">
      <c r="A338" s="33"/>
      <c r="B338" s="33"/>
      <c r="H338" s="33"/>
      <c r="I338" s="33"/>
      <c r="P338" s="33"/>
      <c r="Q338" s="33"/>
      <c r="X338" s="33"/>
      <c r="Y338" s="33"/>
    </row>
    <row r="339" spans="1:25" ht="15.75" customHeight="1">
      <c r="A339" s="33"/>
      <c r="B339" s="33"/>
      <c r="H339" s="33"/>
      <c r="I339" s="33"/>
      <c r="P339" s="33"/>
      <c r="Q339" s="33"/>
      <c r="X339" s="33"/>
      <c r="Y339" s="33"/>
    </row>
    <row r="340" spans="1:25" ht="15.75" customHeight="1">
      <c r="A340" s="33"/>
      <c r="B340" s="33"/>
      <c r="H340" s="33"/>
      <c r="I340" s="33"/>
      <c r="P340" s="33"/>
      <c r="Q340" s="33"/>
      <c r="X340" s="33"/>
      <c r="Y340" s="33"/>
    </row>
    <row r="341" spans="1:25" ht="15.75" customHeight="1">
      <c r="A341" s="33"/>
      <c r="B341" s="33"/>
      <c r="H341" s="33"/>
      <c r="I341" s="33"/>
      <c r="P341" s="33"/>
      <c r="Q341" s="33"/>
      <c r="X341" s="33"/>
      <c r="Y341" s="33"/>
    </row>
    <row r="342" spans="1:25" ht="15.75" customHeight="1">
      <c r="A342" s="33"/>
      <c r="B342" s="33"/>
      <c r="H342" s="33"/>
      <c r="I342" s="33"/>
      <c r="P342" s="33"/>
      <c r="Q342" s="33"/>
      <c r="X342" s="33"/>
      <c r="Y342" s="33"/>
    </row>
    <row r="343" spans="1:25" ht="15.75" customHeight="1">
      <c r="A343" s="33"/>
      <c r="B343" s="33"/>
      <c r="H343" s="33"/>
      <c r="I343" s="33"/>
      <c r="P343" s="33"/>
      <c r="Q343" s="33"/>
      <c r="X343" s="33"/>
      <c r="Y343" s="33"/>
    </row>
    <row r="344" spans="1:25" ht="15.75" customHeight="1">
      <c r="A344" s="33"/>
      <c r="B344" s="33"/>
      <c r="H344" s="33"/>
      <c r="I344" s="33"/>
      <c r="P344" s="33"/>
      <c r="Q344" s="33"/>
      <c r="X344" s="33"/>
      <c r="Y344" s="33"/>
    </row>
    <row r="345" spans="1:25" ht="15.75" customHeight="1">
      <c r="A345" s="33"/>
      <c r="B345" s="33"/>
      <c r="H345" s="33"/>
      <c r="I345" s="33"/>
      <c r="P345" s="33"/>
      <c r="Q345" s="33"/>
      <c r="X345" s="33"/>
      <c r="Y345" s="33"/>
    </row>
    <row r="346" spans="1:25" ht="15.75" customHeight="1">
      <c r="A346" s="33"/>
      <c r="B346" s="33"/>
      <c r="H346" s="33"/>
      <c r="I346" s="33"/>
      <c r="P346" s="33"/>
      <c r="Q346" s="33"/>
      <c r="X346" s="33"/>
      <c r="Y346" s="33"/>
    </row>
    <row r="347" spans="1:25" ht="15.75" customHeight="1">
      <c r="A347" s="33"/>
      <c r="B347" s="33"/>
      <c r="H347" s="33"/>
      <c r="I347" s="33"/>
      <c r="P347" s="33"/>
      <c r="Q347" s="33"/>
      <c r="X347" s="33"/>
      <c r="Y347" s="33"/>
    </row>
    <row r="348" spans="1:25" ht="15.75" customHeight="1">
      <c r="A348" s="33"/>
      <c r="B348" s="33"/>
      <c r="H348" s="33"/>
      <c r="I348" s="33"/>
      <c r="P348" s="33"/>
      <c r="Q348" s="33"/>
      <c r="X348" s="33"/>
      <c r="Y348" s="33"/>
    </row>
    <row r="349" spans="1:25" ht="15.75" customHeight="1">
      <c r="A349" s="33"/>
      <c r="B349" s="33"/>
      <c r="H349" s="33"/>
      <c r="I349" s="33"/>
      <c r="P349" s="33"/>
      <c r="Q349" s="33"/>
      <c r="X349" s="33"/>
      <c r="Y349" s="33"/>
    </row>
    <row r="350" spans="1:25" ht="15.75" customHeight="1">
      <c r="A350" s="33"/>
      <c r="B350" s="33"/>
      <c r="H350" s="33"/>
      <c r="I350" s="33"/>
      <c r="P350" s="33"/>
      <c r="Q350" s="33"/>
      <c r="X350" s="33"/>
      <c r="Y350" s="33"/>
    </row>
    <row r="351" spans="1:25" ht="15.75" customHeight="1">
      <c r="A351" s="33"/>
      <c r="B351" s="33"/>
      <c r="H351" s="33"/>
      <c r="I351" s="33"/>
      <c r="P351" s="33"/>
      <c r="Q351" s="33"/>
      <c r="X351" s="33"/>
      <c r="Y351" s="33"/>
    </row>
    <row r="352" spans="1:25" ht="15.75" customHeight="1">
      <c r="A352" s="33"/>
      <c r="B352" s="33"/>
      <c r="H352" s="33"/>
      <c r="I352" s="33"/>
      <c r="P352" s="33"/>
      <c r="Q352" s="33"/>
      <c r="X352" s="33"/>
      <c r="Y352" s="33"/>
    </row>
    <row r="353" spans="1:25" ht="15.75" customHeight="1">
      <c r="A353" s="33"/>
      <c r="B353" s="33"/>
      <c r="H353" s="33"/>
      <c r="I353" s="33"/>
      <c r="P353" s="33"/>
      <c r="Q353" s="33"/>
      <c r="X353" s="33"/>
      <c r="Y353" s="33"/>
    </row>
    <row r="354" spans="1:25" ht="15.75" customHeight="1">
      <c r="A354" s="33"/>
      <c r="B354" s="33"/>
      <c r="H354" s="33"/>
      <c r="I354" s="33"/>
      <c r="P354" s="33"/>
      <c r="Q354" s="33"/>
      <c r="X354" s="33"/>
      <c r="Y354" s="33"/>
    </row>
    <row r="355" spans="1:25" ht="15.75" customHeight="1">
      <c r="A355" s="33"/>
      <c r="B355" s="33"/>
      <c r="H355" s="33"/>
      <c r="I355" s="33"/>
      <c r="P355" s="33"/>
      <c r="Q355" s="33"/>
      <c r="X355" s="33"/>
      <c r="Y355" s="33"/>
    </row>
    <row r="356" spans="1:25" ht="15.75" customHeight="1">
      <c r="A356" s="33"/>
      <c r="B356" s="33"/>
      <c r="H356" s="33"/>
      <c r="I356" s="33"/>
      <c r="P356" s="33"/>
      <c r="Q356" s="33"/>
      <c r="X356" s="33"/>
      <c r="Y356" s="33"/>
    </row>
    <row r="357" spans="1:25" ht="15.75" customHeight="1">
      <c r="A357" s="33"/>
      <c r="B357" s="33"/>
      <c r="H357" s="33"/>
      <c r="I357" s="33"/>
      <c r="P357" s="33"/>
      <c r="Q357" s="33"/>
      <c r="X357" s="33"/>
      <c r="Y357" s="33"/>
    </row>
    <row r="358" spans="1:25" ht="15.75" customHeight="1">
      <c r="A358" s="33"/>
      <c r="B358" s="33"/>
      <c r="H358" s="33"/>
      <c r="I358" s="33"/>
      <c r="P358" s="33"/>
      <c r="Q358" s="33"/>
      <c r="X358" s="33"/>
      <c r="Y358" s="33"/>
    </row>
    <row r="359" spans="1:25" ht="15.75" customHeight="1">
      <c r="A359" s="33"/>
      <c r="B359" s="33"/>
      <c r="H359" s="33"/>
      <c r="I359" s="33"/>
      <c r="P359" s="33"/>
      <c r="Q359" s="33"/>
      <c r="X359" s="33"/>
      <c r="Y359" s="33"/>
    </row>
    <row r="360" spans="1:25" ht="15.75" customHeight="1">
      <c r="A360" s="33"/>
      <c r="B360" s="33"/>
      <c r="H360" s="33"/>
      <c r="I360" s="33"/>
      <c r="P360" s="33"/>
      <c r="Q360" s="33"/>
      <c r="X360" s="33"/>
      <c r="Y360" s="33"/>
    </row>
    <row r="361" spans="1:25" ht="15.75" customHeight="1">
      <c r="A361" s="33"/>
      <c r="B361" s="33"/>
      <c r="H361" s="33"/>
      <c r="I361" s="33"/>
      <c r="P361" s="33"/>
      <c r="Q361" s="33"/>
      <c r="X361" s="33"/>
      <c r="Y361" s="33"/>
    </row>
    <row r="362" spans="1:25" ht="15.75" customHeight="1">
      <c r="A362" s="33"/>
      <c r="B362" s="33"/>
      <c r="H362" s="33"/>
      <c r="I362" s="33"/>
      <c r="P362" s="33"/>
      <c r="Q362" s="33"/>
      <c r="X362" s="33"/>
      <c r="Y362" s="33"/>
    </row>
    <row r="363" spans="1:25" ht="15.75" customHeight="1">
      <c r="A363" s="33"/>
      <c r="B363" s="33"/>
      <c r="H363" s="33"/>
      <c r="I363" s="33"/>
      <c r="P363" s="33"/>
      <c r="Q363" s="33"/>
      <c r="X363" s="33"/>
      <c r="Y363" s="33"/>
    </row>
    <row r="364" spans="1:25" ht="15.75" customHeight="1">
      <c r="A364" s="33"/>
      <c r="B364" s="33"/>
      <c r="H364" s="33"/>
      <c r="I364" s="33"/>
      <c r="P364" s="33"/>
      <c r="Q364" s="33"/>
      <c r="X364" s="33"/>
      <c r="Y364" s="33"/>
    </row>
    <row r="365" spans="1:25" ht="15.75" customHeight="1">
      <c r="A365" s="33"/>
      <c r="B365" s="33"/>
      <c r="H365" s="33"/>
      <c r="I365" s="33"/>
      <c r="P365" s="33"/>
      <c r="Q365" s="33"/>
      <c r="X365" s="33"/>
      <c r="Y365" s="33"/>
    </row>
    <row r="366" spans="1:25" ht="15.75" customHeight="1">
      <c r="A366" s="33"/>
      <c r="B366" s="33"/>
      <c r="H366" s="33"/>
      <c r="I366" s="33"/>
      <c r="P366" s="33"/>
      <c r="Q366" s="33"/>
      <c r="X366" s="33"/>
      <c r="Y366" s="33"/>
    </row>
    <row r="367" spans="1:25" ht="15.75" customHeight="1">
      <c r="A367" s="33"/>
      <c r="B367" s="33"/>
      <c r="H367" s="33"/>
      <c r="I367" s="33"/>
      <c r="P367" s="33"/>
      <c r="Q367" s="33"/>
      <c r="X367" s="33"/>
      <c r="Y367" s="33"/>
    </row>
    <row r="368" spans="1:25" ht="15.75" customHeight="1">
      <c r="A368" s="33"/>
      <c r="B368" s="33"/>
      <c r="H368" s="33"/>
      <c r="I368" s="33"/>
      <c r="P368" s="33"/>
      <c r="Q368" s="33"/>
      <c r="X368" s="33"/>
      <c r="Y368" s="33"/>
    </row>
    <row r="369" spans="1:25" ht="15.75" customHeight="1">
      <c r="A369" s="33"/>
      <c r="B369" s="33"/>
      <c r="H369" s="33"/>
      <c r="I369" s="33"/>
      <c r="P369" s="33"/>
      <c r="Q369" s="33"/>
      <c r="X369" s="33"/>
      <c r="Y369" s="33"/>
    </row>
    <row r="370" spans="1:25" ht="15.75" customHeight="1">
      <c r="A370" s="33"/>
      <c r="B370" s="33"/>
      <c r="H370" s="33"/>
      <c r="I370" s="33"/>
      <c r="P370" s="33"/>
      <c r="Q370" s="33"/>
      <c r="X370" s="33"/>
      <c r="Y370" s="33"/>
    </row>
    <row r="371" spans="1:25" ht="15.75" customHeight="1">
      <c r="A371" s="33"/>
      <c r="B371" s="33"/>
      <c r="H371" s="33"/>
      <c r="I371" s="33"/>
      <c r="P371" s="33"/>
      <c r="Q371" s="33"/>
      <c r="X371" s="33"/>
      <c r="Y371" s="33"/>
    </row>
    <row r="372" spans="1:25" ht="15.75" customHeight="1">
      <c r="A372" s="33"/>
      <c r="B372" s="33"/>
      <c r="H372" s="33"/>
      <c r="I372" s="33"/>
      <c r="P372" s="33"/>
      <c r="Q372" s="33"/>
      <c r="X372" s="33"/>
      <c r="Y372" s="33"/>
    </row>
    <row r="373" spans="1:25" ht="15.75" customHeight="1">
      <c r="A373" s="33"/>
      <c r="B373" s="33"/>
      <c r="H373" s="33"/>
      <c r="I373" s="33"/>
      <c r="P373" s="33"/>
      <c r="Q373" s="33"/>
      <c r="X373" s="33"/>
      <c r="Y373" s="33"/>
    </row>
    <row r="374" spans="1:25" ht="15.75" customHeight="1">
      <c r="A374" s="33"/>
      <c r="B374" s="33"/>
      <c r="H374" s="33"/>
      <c r="I374" s="33"/>
      <c r="P374" s="33"/>
      <c r="Q374" s="33"/>
      <c r="X374" s="33"/>
      <c r="Y374" s="33"/>
    </row>
    <row r="375" spans="1:25" ht="15.75" customHeight="1">
      <c r="A375" s="33"/>
      <c r="B375" s="33"/>
      <c r="H375" s="33"/>
      <c r="I375" s="33"/>
      <c r="P375" s="33"/>
      <c r="Q375" s="33"/>
      <c r="X375" s="33"/>
      <c r="Y375" s="33"/>
    </row>
    <row r="376" spans="1:25" ht="15.75" customHeight="1">
      <c r="A376" s="33"/>
      <c r="B376" s="33"/>
      <c r="H376" s="33"/>
      <c r="I376" s="33"/>
      <c r="P376" s="33"/>
      <c r="Q376" s="33"/>
      <c r="X376" s="33"/>
      <c r="Y376" s="33"/>
    </row>
    <row r="377" spans="1:25" ht="15.75" customHeight="1">
      <c r="A377" s="33"/>
      <c r="B377" s="33"/>
      <c r="H377" s="33"/>
      <c r="I377" s="33"/>
      <c r="P377" s="33"/>
      <c r="Q377" s="33"/>
      <c r="X377" s="33"/>
      <c r="Y377" s="33"/>
    </row>
    <row r="378" spans="1:25" ht="15.75" customHeight="1">
      <c r="A378" s="33"/>
      <c r="B378" s="33"/>
      <c r="H378" s="33"/>
      <c r="I378" s="33"/>
      <c r="P378" s="33"/>
      <c r="Q378" s="33"/>
      <c r="X378" s="33"/>
      <c r="Y378" s="33"/>
    </row>
    <row r="379" spans="1:25" ht="15.75" customHeight="1">
      <c r="A379" s="33"/>
      <c r="B379" s="33"/>
      <c r="H379" s="33"/>
      <c r="I379" s="33"/>
      <c r="P379" s="33"/>
      <c r="Q379" s="33"/>
      <c r="X379" s="33"/>
      <c r="Y379" s="33"/>
    </row>
    <row r="380" spans="1:25" ht="15.75" customHeight="1">
      <c r="A380" s="33"/>
      <c r="B380" s="33"/>
      <c r="H380" s="33"/>
      <c r="I380" s="33"/>
      <c r="P380" s="33"/>
      <c r="Q380" s="33"/>
      <c r="X380" s="33"/>
      <c r="Y380" s="33"/>
    </row>
    <row r="381" spans="1:25" ht="15.75" customHeight="1">
      <c r="A381" s="33"/>
      <c r="B381" s="33"/>
      <c r="H381" s="33"/>
      <c r="I381" s="33"/>
      <c r="P381" s="33"/>
      <c r="Q381" s="33"/>
      <c r="X381" s="33"/>
      <c r="Y381" s="33"/>
    </row>
    <row r="382" spans="1:25" ht="15.75" customHeight="1">
      <c r="A382" s="33"/>
      <c r="B382" s="33"/>
      <c r="H382" s="33"/>
      <c r="I382" s="33"/>
      <c r="P382" s="33"/>
      <c r="Q382" s="33"/>
      <c r="X382" s="33"/>
      <c r="Y382" s="33"/>
    </row>
    <row r="383" spans="1:25" ht="15.75" customHeight="1">
      <c r="A383" s="33"/>
      <c r="B383" s="33"/>
      <c r="H383" s="33"/>
      <c r="I383" s="33"/>
      <c r="P383" s="33"/>
      <c r="Q383" s="33"/>
      <c r="X383" s="33"/>
      <c r="Y383" s="33"/>
    </row>
    <row r="384" spans="1:25" ht="15.75" customHeight="1">
      <c r="A384" s="33"/>
      <c r="B384" s="33"/>
      <c r="H384" s="33"/>
      <c r="I384" s="33"/>
      <c r="P384" s="33"/>
      <c r="Q384" s="33"/>
      <c r="X384" s="33"/>
      <c r="Y384" s="33"/>
    </row>
    <row r="385" spans="1:25" ht="15.75" customHeight="1">
      <c r="A385" s="33"/>
      <c r="B385" s="33"/>
      <c r="H385" s="33"/>
      <c r="I385" s="33"/>
      <c r="P385" s="33"/>
      <c r="Q385" s="33"/>
      <c r="X385" s="33"/>
      <c r="Y385" s="33"/>
    </row>
    <row r="386" spans="1:25" ht="15.75" customHeight="1">
      <c r="A386" s="33"/>
      <c r="B386" s="33"/>
      <c r="H386" s="33"/>
      <c r="I386" s="33"/>
      <c r="P386" s="33"/>
      <c r="Q386" s="33"/>
      <c r="X386" s="33"/>
      <c r="Y386" s="33"/>
    </row>
    <row r="387" spans="1:25" ht="15.75" customHeight="1">
      <c r="A387" s="33"/>
      <c r="B387" s="33"/>
      <c r="H387" s="33"/>
      <c r="I387" s="33"/>
      <c r="P387" s="33"/>
      <c r="Q387" s="33"/>
      <c r="X387" s="33"/>
      <c r="Y387" s="33"/>
    </row>
    <row r="388" spans="1:25" ht="15.75" customHeight="1">
      <c r="A388" s="33"/>
      <c r="B388" s="33"/>
      <c r="H388" s="33"/>
      <c r="I388" s="33"/>
      <c r="P388" s="33"/>
      <c r="Q388" s="33"/>
      <c r="X388" s="33"/>
      <c r="Y388" s="33"/>
    </row>
    <row r="389" spans="1:25" ht="15.75" customHeight="1">
      <c r="A389" s="33"/>
      <c r="B389" s="33"/>
      <c r="H389" s="33"/>
      <c r="I389" s="33"/>
      <c r="P389" s="33"/>
      <c r="Q389" s="33"/>
      <c r="X389" s="33"/>
      <c r="Y389" s="33"/>
    </row>
    <row r="390" spans="1:25" ht="15.75" customHeight="1">
      <c r="A390" s="33"/>
      <c r="B390" s="33"/>
      <c r="H390" s="33"/>
      <c r="I390" s="33"/>
      <c r="P390" s="33"/>
      <c r="Q390" s="33"/>
      <c r="X390" s="33"/>
      <c r="Y390" s="33"/>
    </row>
    <row r="391" spans="1:25" ht="15.75" customHeight="1">
      <c r="A391" s="33"/>
      <c r="B391" s="33"/>
      <c r="H391" s="33"/>
      <c r="I391" s="33"/>
      <c r="P391" s="33"/>
      <c r="Q391" s="33"/>
      <c r="X391" s="33"/>
      <c r="Y391" s="33"/>
    </row>
    <row r="392" spans="1:25" ht="15.75" customHeight="1">
      <c r="A392" s="33"/>
      <c r="B392" s="33"/>
      <c r="H392" s="33"/>
      <c r="I392" s="33"/>
      <c r="P392" s="33"/>
      <c r="Q392" s="33"/>
      <c r="X392" s="33"/>
      <c r="Y392" s="33"/>
    </row>
    <row r="393" spans="1:25" ht="15.75" customHeight="1">
      <c r="A393" s="33"/>
      <c r="B393" s="33"/>
      <c r="H393" s="33"/>
      <c r="I393" s="33"/>
      <c r="P393" s="33"/>
      <c r="Q393" s="33"/>
      <c r="X393" s="33"/>
      <c r="Y393" s="33"/>
    </row>
    <row r="394" spans="1:25" ht="15.75" customHeight="1">
      <c r="A394" s="33"/>
      <c r="B394" s="33"/>
      <c r="H394" s="33"/>
      <c r="I394" s="33"/>
      <c r="P394" s="33"/>
      <c r="Q394" s="33"/>
      <c r="X394" s="33"/>
      <c r="Y394" s="33"/>
    </row>
    <row r="395" spans="1:25" ht="15.75" customHeight="1">
      <c r="A395" s="33"/>
      <c r="B395" s="33"/>
      <c r="H395" s="33"/>
      <c r="I395" s="33"/>
      <c r="P395" s="33"/>
      <c r="Q395" s="33"/>
      <c r="X395" s="33"/>
      <c r="Y395" s="33"/>
    </row>
    <row r="396" spans="1:25" ht="15.75" customHeight="1">
      <c r="A396" s="33"/>
      <c r="B396" s="33"/>
      <c r="H396" s="33"/>
      <c r="I396" s="33"/>
      <c r="P396" s="33"/>
      <c r="Q396" s="33"/>
      <c r="X396" s="33"/>
      <c r="Y396" s="33"/>
    </row>
    <row r="397" spans="1:25" ht="15.75" customHeight="1">
      <c r="A397" s="33"/>
      <c r="B397" s="33"/>
      <c r="H397" s="33"/>
      <c r="I397" s="33"/>
      <c r="P397" s="33"/>
      <c r="Q397" s="33"/>
      <c r="X397" s="33"/>
      <c r="Y397" s="33"/>
    </row>
    <row r="398" spans="1:25" ht="15.75" customHeight="1">
      <c r="A398" s="33"/>
      <c r="B398" s="33"/>
      <c r="H398" s="33"/>
      <c r="I398" s="33"/>
      <c r="P398" s="33"/>
      <c r="Q398" s="33"/>
      <c r="X398" s="33"/>
      <c r="Y398" s="33"/>
    </row>
    <row r="399" spans="1:25" ht="15.75" customHeight="1">
      <c r="A399" s="33"/>
      <c r="B399" s="33"/>
      <c r="H399" s="33"/>
      <c r="I399" s="33"/>
      <c r="P399" s="33"/>
      <c r="Q399" s="33"/>
      <c r="X399" s="33"/>
      <c r="Y399" s="33"/>
    </row>
    <row r="400" spans="1:25" ht="15.75" customHeight="1">
      <c r="A400" s="33"/>
      <c r="B400" s="33"/>
      <c r="H400" s="33"/>
      <c r="I400" s="33"/>
      <c r="P400" s="33"/>
      <c r="Q400" s="33"/>
      <c r="X400" s="33"/>
      <c r="Y400" s="33"/>
    </row>
    <row r="401" spans="1:25" ht="15.75" customHeight="1">
      <c r="A401" s="33"/>
      <c r="B401" s="33"/>
      <c r="H401" s="33"/>
      <c r="I401" s="33"/>
      <c r="P401" s="33"/>
      <c r="Q401" s="33"/>
      <c r="X401" s="33"/>
      <c r="Y401" s="33"/>
    </row>
    <row r="402" spans="1:25" ht="15.75" customHeight="1">
      <c r="A402" s="33"/>
      <c r="B402" s="33"/>
      <c r="H402" s="33"/>
      <c r="I402" s="33"/>
      <c r="P402" s="33"/>
      <c r="Q402" s="33"/>
      <c r="X402" s="33"/>
      <c r="Y402" s="33"/>
    </row>
    <row r="403" spans="1:25" ht="15.75" customHeight="1">
      <c r="A403" s="33"/>
      <c r="B403" s="33"/>
      <c r="H403" s="33"/>
      <c r="I403" s="33"/>
      <c r="P403" s="33"/>
      <c r="Q403" s="33"/>
      <c r="X403" s="33"/>
      <c r="Y403" s="33"/>
    </row>
    <row r="404" spans="1:25" ht="15.75" customHeight="1">
      <c r="A404" s="33"/>
      <c r="B404" s="33"/>
      <c r="H404" s="33"/>
      <c r="I404" s="33"/>
      <c r="P404" s="33"/>
      <c r="Q404" s="33"/>
      <c r="X404" s="33"/>
      <c r="Y404" s="33"/>
    </row>
    <row r="405" spans="1:25" ht="15.75" customHeight="1">
      <c r="A405" s="33"/>
      <c r="B405" s="33"/>
      <c r="H405" s="33"/>
      <c r="I405" s="33"/>
      <c r="P405" s="33"/>
      <c r="Q405" s="33"/>
      <c r="X405" s="33"/>
      <c r="Y405" s="33"/>
    </row>
    <row r="406" spans="1:25" ht="15.75" customHeight="1">
      <c r="A406" s="33"/>
      <c r="B406" s="33"/>
      <c r="H406" s="33"/>
      <c r="I406" s="33"/>
      <c r="P406" s="33"/>
      <c r="Q406" s="33"/>
      <c r="X406" s="33"/>
      <c r="Y406" s="33"/>
    </row>
    <row r="407" spans="1:25" ht="15.75" customHeight="1">
      <c r="A407" s="33"/>
      <c r="B407" s="33"/>
      <c r="H407" s="33"/>
      <c r="I407" s="33"/>
      <c r="P407" s="33"/>
      <c r="Q407" s="33"/>
      <c r="X407" s="33"/>
      <c r="Y407" s="33"/>
    </row>
    <row r="408" spans="1:25" ht="15.75" customHeight="1">
      <c r="A408" s="33"/>
      <c r="B408" s="33"/>
      <c r="H408" s="33"/>
      <c r="I408" s="33"/>
      <c r="P408" s="33"/>
      <c r="Q408" s="33"/>
      <c r="X408" s="33"/>
      <c r="Y408" s="33"/>
    </row>
    <row r="409" spans="1:25" ht="15.75" customHeight="1">
      <c r="A409" s="33"/>
      <c r="B409" s="33"/>
      <c r="H409" s="33"/>
      <c r="I409" s="33"/>
      <c r="P409" s="33"/>
      <c r="Q409" s="33"/>
      <c r="X409" s="33"/>
      <c r="Y409" s="33"/>
    </row>
    <row r="410" spans="1:25" ht="15.75" customHeight="1">
      <c r="A410" s="33"/>
      <c r="B410" s="33"/>
      <c r="H410" s="33"/>
      <c r="I410" s="33"/>
      <c r="P410" s="33"/>
      <c r="Q410" s="33"/>
      <c r="X410" s="33"/>
      <c r="Y410" s="33"/>
    </row>
    <row r="411" spans="1:25" ht="15.75" customHeight="1">
      <c r="A411" s="33"/>
      <c r="B411" s="33"/>
      <c r="H411" s="33"/>
      <c r="I411" s="33"/>
      <c r="P411" s="33"/>
      <c r="Q411" s="33"/>
      <c r="X411" s="33"/>
      <c r="Y411" s="33"/>
    </row>
    <row r="412" spans="1:25" ht="15.75" customHeight="1">
      <c r="A412" s="33"/>
      <c r="B412" s="33"/>
      <c r="H412" s="33"/>
      <c r="I412" s="33"/>
      <c r="P412" s="33"/>
      <c r="Q412" s="33"/>
      <c r="X412" s="33"/>
      <c r="Y412" s="33"/>
    </row>
    <row r="413" spans="1:25" ht="15.75" customHeight="1">
      <c r="A413" s="33"/>
      <c r="B413" s="33"/>
      <c r="H413" s="33"/>
      <c r="I413" s="33"/>
      <c r="P413" s="33"/>
      <c r="Q413" s="33"/>
      <c r="X413" s="33"/>
      <c r="Y413" s="33"/>
    </row>
    <row r="414" spans="1:25" ht="15.75" customHeight="1">
      <c r="A414" s="33"/>
      <c r="B414" s="33"/>
      <c r="H414" s="33"/>
      <c r="I414" s="33"/>
      <c r="P414" s="33"/>
      <c r="Q414" s="33"/>
      <c r="X414" s="33"/>
      <c r="Y414" s="33"/>
    </row>
    <row r="415" spans="1:25" ht="15.75" customHeight="1">
      <c r="A415" s="33"/>
      <c r="B415" s="33"/>
      <c r="H415" s="33"/>
      <c r="I415" s="33"/>
      <c r="P415" s="33"/>
      <c r="Q415" s="33"/>
      <c r="X415" s="33"/>
      <c r="Y415" s="33"/>
    </row>
    <row r="416" spans="1:25" ht="15.75" customHeight="1">
      <c r="A416" s="33"/>
      <c r="B416" s="33"/>
      <c r="H416" s="33"/>
      <c r="I416" s="33"/>
      <c r="P416" s="33"/>
      <c r="Q416" s="33"/>
      <c r="X416" s="33"/>
      <c r="Y416" s="33"/>
    </row>
    <row r="417" spans="1:25" ht="15.75" customHeight="1">
      <c r="A417" s="33"/>
      <c r="B417" s="33"/>
      <c r="H417" s="33"/>
      <c r="I417" s="33"/>
      <c r="P417" s="33"/>
      <c r="Q417" s="33"/>
      <c r="X417" s="33"/>
      <c r="Y417" s="33"/>
    </row>
    <row r="418" spans="1:25" ht="15.75" customHeight="1">
      <c r="A418" s="33"/>
      <c r="B418" s="33"/>
      <c r="H418" s="33"/>
      <c r="I418" s="33"/>
      <c r="P418" s="33"/>
      <c r="Q418" s="33"/>
      <c r="X418" s="33"/>
      <c r="Y418" s="33"/>
    </row>
    <row r="419" spans="1:25" ht="15.75" customHeight="1">
      <c r="A419" s="33"/>
      <c r="B419" s="33"/>
      <c r="H419" s="33"/>
      <c r="I419" s="33"/>
      <c r="P419" s="33"/>
      <c r="Q419" s="33"/>
      <c r="X419" s="33"/>
      <c r="Y419" s="33"/>
    </row>
    <row r="420" spans="1:25" ht="15.75" customHeight="1">
      <c r="A420" s="33"/>
      <c r="B420" s="33"/>
      <c r="H420" s="33"/>
      <c r="I420" s="33"/>
      <c r="P420" s="33"/>
      <c r="Q420" s="33"/>
      <c r="X420" s="33"/>
      <c r="Y420" s="33"/>
    </row>
    <row r="421" spans="1:25" ht="15.75" customHeight="1">
      <c r="A421" s="33"/>
      <c r="B421" s="33"/>
      <c r="H421" s="33"/>
      <c r="I421" s="33"/>
      <c r="P421" s="33"/>
      <c r="Q421" s="33"/>
      <c r="X421" s="33"/>
      <c r="Y421" s="33"/>
    </row>
    <row r="422" spans="1:25" ht="15.75" customHeight="1">
      <c r="A422" s="33"/>
      <c r="B422" s="33"/>
      <c r="H422" s="33"/>
      <c r="I422" s="33"/>
      <c r="P422" s="33"/>
      <c r="Q422" s="33"/>
      <c r="X422" s="33"/>
      <c r="Y422" s="33"/>
    </row>
    <row r="423" spans="1:25" ht="15.75" customHeight="1">
      <c r="A423" s="33"/>
      <c r="B423" s="33"/>
      <c r="H423" s="33"/>
      <c r="I423" s="33"/>
      <c r="P423" s="33"/>
      <c r="Q423" s="33"/>
      <c r="X423" s="33"/>
      <c r="Y423" s="33"/>
    </row>
    <row r="424" spans="1:25" ht="15.75" customHeight="1">
      <c r="A424" s="33"/>
      <c r="B424" s="33"/>
      <c r="H424" s="33"/>
      <c r="I424" s="33"/>
      <c r="P424" s="33"/>
      <c r="Q424" s="33"/>
      <c r="X424" s="33"/>
      <c r="Y424" s="33"/>
    </row>
    <row r="425" spans="1:25" ht="15.75" customHeight="1">
      <c r="A425" s="33"/>
      <c r="B425" s="33"/>
      <c r="H425" s="33"/>
      <c r="I425" s="33"/>
      <c r="P425" s="33"/>
      <c r="Q425" s="33"/>
      <c r="X425" s="33"/>
      <c r="Y425" s="33"/>
    </row>
    <row r="426" spans="1:25" ht="15.75" customHeight="1">
      <c r="A426" s="33"/>
      <c r="B426" s="33"/>
      <c r="H426" s="33"/>
      <c r="I426" s="33"/>
      <c r="P426" s="33"/>
      <c r="Q426" s="33"/>
      <c r="X426" s="33"/>
      <c r="Y426" s="33"/>
    </row>
    <row r="427" spans="1:25" ht="15.75" customHeight="1">
      <c r="A427" s="33"/>
      <c r="B427" s="33"/>
      <c r="H427" s="33"/>
      <c r="I427" s="33"/>
      <c r="P427" s="33"/>
      <c r="Q427" s="33"/>
      <c r="X427" s="33"/>
      <c r="Y427" s="33"/>
    </row>
    <row r="428" spans="1:25" ht="15.75" customHeight="1">
      <c r="A428" s="33"/>
      <c r="B428" s="33"/>
      <c r="H428" s="33"/>
      <c r="I428" s="33"/>
      <c r="P428" s="33"/>
      <c r="Q428" s="33"/>
      <c r="X428" s="33"/>
      <c r="Y428" s="33"/>
    </row>
    <row r="429" spans="1:25" ht="15.75" customHeight="1">
      <c r="A429" s="33"/>
      <c r="B429" s="33"/>
      <c r="H429" s="33"/>
      <c r="I429" s="33"/>
      <c r="P429" s="33"/>
      <c r="Q429" s="33"/>
      <c r="X429" s="33"/>
      <c r="Y429" s="33"/>
    </row>
    <row r="430" spans="1:25" ht="15.75" customHeight="1">
      <c r="A430" s="33"/>
      <c r="B430" s="33"/>
      <c r="H430" s="33"/>
      <c r="I430" s="33"/>
      <c r="P430" s="33"/>
      <c r="Q430" s="33"/>
      <c r="X430" s="33"/>
      <c r="Y430" s="33"/>
    </row>
    <row r="431" spans="1:25" ht="15.75" customHeight="1">
      <c r="A431" s="33"/>
      <c r="B431" s="33"/>
      <c r="H431" s="33"/>
      <c r="I431" s="33"/>
      <c r="P431" s="33"/>
      <c r="Q431" s="33"/>
      <c r="X431" s="33"/>
      <c r="Y431" s="33"/>
    </row>
    <row r="432" spans="1:25" ht="15.75" customHeight="1">
      <c r="A432" s="33"/>
      <c r="B432" s="33"/>
      <c r="H432" s="33"/>
      <c r="I432" s="33"/>
      <c r="P432" s="33"/>
      <c r="Q432" s="33"/>
      <c r="X432" s="33"/>
      <c r="Y432" s="33"/>
    </row>
    <row r="433" spans="1:25" ht="15.75" customHeight="1">
      <c r="A433" s="33"/>
      <c r="B433" s="33"/>
      <c r="H433" s="33"/>
      <c r="I433" s="33"/>
      <c r="P433" s="33"/>
      <c r="Q433" s="33"/>
      <c r="X433" s="33"/>
      <c r="Y433" s="33"/>
    </row>
    <row r="434" spans="1:25" ht="15.75" customHeight="1">
      <c r="A434" s="33"/>
      <c r="B434" s="33"/>
      <c r="H434" s="33"/>
      <c r="I434" s="33"/>
      <c r="P434" s="33"/>
      <c r="Q434" s="33"/>
      <c r="X434" s="33"/>
      <c r="Y434" s="33"/>
    </row>
    <row r="435" spans="1:25" ht="15.75" customHeight="1">
      <c r="A435" s="33"/>
      <c r="B435" s="33"/>
      <c r="H435" s="33"/>
      <c r="I435" s="33"/>
      <c r="P435" s="33"/>
      <c r="Q435" s="33"/>
      <c r="X435" s="33"/>
      <c r="Y435" s="33"/>
    </row>
    <row r="436" spans="1:25" ht="15.75" customHeight="1">
      <c r="A436" s="33"/>
      <c r="B436" s="33"/>
      <c r="H436" s="33"/>
      <c r="I436" s="33"/>
      <c r="P436" s="33"/>
      <c r="Q436" s="33"/>
      <c r="X436" s="33"/>
      <c r="Y436" s="33"/>
    </row>
    <row r="437" spans="1:25" ht="15.75" customHeight="1">
      <c r="A437" s="33"/>
      <c r="B437" s="33"/>
      <c r="H437" s="33"/>
      <c r="I437" s="33"/>
      <c r="P437" s="33"/>
      <c r="Q437" s="33"/>
      <c r="X437" s="33"/>
      <c r="Y437" s="33"/>
    </row>
    <row r="438" spans="1:25" ht="15.75" customHeight="1">
      <c r="A438" s="33"/>
      <c r="B438" s="33"/>
      <c r="H438" s="33"/>
      <c r="I438" s="33"/>
      <c r="P438" s="33"/>
      <c r="Q438" s="33"/>
      <c r="X438" s="33"/>
      <c r="Y438" s="33"/>
    </row>
    <row r="439" spans="1:25" ht="15.75" customHeight="1">
      <c r="A439" s="33"/>
      <c r="B439" s="33"/>
      <c r="H439" s="33"/>
      <c r="I439" s="33"/>
      <c r="P439" s="33"/>
      <c r="Q439" s="33"/>
      <c r="X439" s="33"/>
      <c r="Y439" s="33"/>
    </row>
    <row r="440" spans="1:25" ht="15.75" customHeight="1">
      <c r="A440" s="33"/>
      <c r="B440" s="33"/>
      <c r="H440" s="33"/>
      <c r="I440" s="33"/>
      <c r="P440" s="33"/>
      <c r="Q440" s="33"/>
      <c r="X440" s="33"/>
      <c r="Y440" s="33"/>
    </row>
    <row r="441" spans="1:25" ht="15.75" customHeight="1">
      <c r="A441" s="33"/>
      <c r="B441" s="33"/>
      <c r="H441" s="33"/>
      <c r="I441" s="33"/>
      <c r="P441" s="33"/>
      <c r="Q441" s="33"/>
      <c r="X441" s="33"/>
      <c r="Y441" s="33"/>
    </row>
    <row r="442" spans="1:25" ht="15.75" customHeight="1">
      <c r="A442" s="33"/>
      <c r="B442" s="33"/>
      <c r="H442" s="33"/>
      <c r="I442" s="33"/>
      <c r="P442" s="33"/>
      <c r="Q442" s="33"/>
      <c r="X442" s="33"/>
      <c r="Y442" s="33"/>
    </row>
    <row r="443" spans="1:25" ht="15.75" customHeight="1">
      <c r="A443" s="33"/>
      <c r="B443" s="33"/>
      <c r="H443" s="33"/>
      <c r="I443" s="33"/>
      <c r="P443" s="33"/>
      <c r="Q443" s="33"/>
      <c r="X443" s="33"/>
      <c r="Y443" s="33"/>
    </row>
    <row r="444" spans="1:25" ht="15.75" customHeight="1">
      <c r="A444" s="33"/>
      <c r="B444" s="33"/>
      <c r="H444" s="33"/>
      <c r="I444" s="33"/>
      <c r="P444" s="33"/>
      <c r="Q444" s="33"/>
      <c r="X444" s="33"/>
      <c r="Y444" s="33"/>
    </row>
    <row r="445" spans="1:25" ht="15.75" customHeight="1">
      <c r="A445" s="33"/>
      <c r="B445" s="33"/>
      <c r="H445" s="33"/>
      <c r="I445" s="33"/>
      <c r="P445" s="33"/>
      <c r="Q445" s="33"/>
      <c r="X445" s="33"/>
      <c r="Y445" s="33"/>
    </row>
    <row r="446" spans="1:25" ht="15.75" customHeight="1">
      <c r="A446" s="33"/>
      <c r="B446" s="33"/>
      <c r="H446" s="33"/>
      <c r="I446" s="33"/>
      <c r="P446" s="33"/>
      <c r="Q446" s="33"/>
      <c r="X446" s="33"/>
      <c r="Y446" s="33"/>
    </row>
    <row r="447" spans="1:25" ht="15.75" customHeight="1">
      <c r="A447" s="33"/>
      <c r="B447" s="33"/>
      <c r="H447" s="33"/>
      <c r="I447" s="33"/>
      <c r="P447" s="33"/>
      <c r="Q447" s="33"/>
      <c r="X447" s="33"/>
      <c r="Y447" s="33"/>
    </row>
    <row r="448" spans="1:25" ht="15.75" customHeight="1">
      <c r="A448" s="33"/>
      <c r="B448" s="33"/>
      <c r="H448" s="33"/>
      <c r="I448" s="33"/>
      <c r="P448" s="33"/>
      <c r="Q448" s="33"/>
      <c r="X448" s="33"/>
      <c r="Y448" s="33"/>
    </row>
    <row r="449" spans="1:25" ht="15.75" customHeight="1">
      <c r="A449" s="33"/>
      <c r="B449" s="33"/>
      <c r="H449" s="33"/>
      <c r="I449" s="33"/>
      <c r="P449" s="33"/>
      <c r="Q449" s="33"/>
      <c r="X449" s="33"/>
      <c r="Y449" s="33"/>
    </row>
    <row r="450" spans="1:25" ht="15.75" customHeight="1">
      <c r="A450" s="33"/>
      <c r="B450" s="33"/>
      <c r="H450" s="33"/>
      <c r="I450" s="33"/>
      <c r="P450" s="33"/>
      <c r="Q450" s="33"/>
      <c r="X450" s="33"/>
      <c r="Y450" s="33"/>
    </row>
    <row r="451" spans="1:25" ht="15.75" customHeight="1">
      <c r="A451" s="33"/>
      <c r="B451" s="33"/>
      <c r="H451" s="33"/>
      <c r="I451" s="33"/>
      <c r="P451" s="33"/>
      <c r="Q451" s="33"/>
      <c r="X451" s="33"/>
      <c r="Y451" s="33"/>
    </row>
    <row r="452" spans="1:25" ht="15.75" customHeight="1">
      <c r="A452" s="33"/>
      <c r="B452" s="33"/>
      <c r="H452" s="33"/>
      <c r="I452" s="33"/>
      <c r="P452" s="33"/>
      <c r="Q452" s="33"/>
      <c r="X452" s="33"/>
      <c r="Y452" s="33"/>
    </row>
    <row r="453" spans="1:25" ht="15.75" customHeight="1">
      <c r="A453" s="33"/>
      <c r="B453" s="33"/>
      <c r="H453" s="33"/>
      <c r="I453" s="33"/>
      <c r="P453" s="33"/>
      <c r="Q453" s="33"/>
      <c r="X453" s="33"/>
      <c r="Y453" s="33"/>
    </row>
    <row r="454" spans="1:25" ht="15.75" customHeight="1">
      <c r="A454" s="33"/>
      <c r="B454" s="33"/>
      <c r="H454" s="33"/>
      <c r="I454" s="33"/>
      <c r="P454" s="33"/>
      <c r="Q454" s="33"/>
      <c r="X454" s="33"/>
      <c r="Y454" s="33"/>
    </row>
    <row r="455" spans="1:25" ht="15.75" customHeight="1">
      <c r="A455" s="33"/>
      <c r="B455" s="33"/>
      <c r="H455" s="33"/>
      <c r="I455" s="33"/>
      <c r="P455" s="33"/>
      <c r="Q455" s="33"/>
      <c r="X455" s="33"/>
      <c r="Y455" s="33"/>
    </row>
    <row r="456" spans="1:25" ht="15.75" customHeight="1">
      <c r="A456" s="33"/>
      <c r="B456" s="33"/>
      <c r="H456" s="33"/>
      <c r="I456" s="33"/>
      <c r="P456" s="33"/>
      <c r="Q456" s="33"/>
      <c r="X456" s="33"/>
      <c r="Y456" s="33"/>
    </row>
    <row r="457" spans="1:25" ht="15.75" customHeight="1">
      <c r="A457" s="33"/>
      <c r="B457" s="33"/>
      <c r="H457" s="33"/>
      <c r="I457" s="33"/>
      <c r="P457" s="33"/>
      <c r="Q457" s="33"/>
      <c r="X457" s="33"/>
      <c r="Y457" s="33"/>
    </row>
    <row r="458" spans="1:25" ht="15.75" customHeight="1">
      <c r="A458" s="33"/>
      <c r="B458" s="33"/>
      <c r="H458" s="33"/>
      <c r="I458" s="33"/>
      <c r="P458" s="33"/>
      <c r="Q458" s="33"/>
      <c r="X458" s="33"/>
      <c r="Y458" s="33"/>
    </row>
    <row r="459" spans="1:25" ht="15.75" customHeight="1">
      <c r="A459" s="33"/>
      <c r="B459" s="33"/>
      <c r="H459" s="33"/>
      <c r="I459" s="33"/>
      <c r="P459" s="33"/>
      <c r="Q459" s="33"/>
      <c r="X459" s="33"/>
      <c r="Y459" s="33"/>
    </row>
    <row r="460" spans="1:25" ht="15.75" customHeight="1">
      <c r="A460" s="33"/>
      <c r="B460" s="33"/>
      <c r="H460" s="33"/>
      <c r="I460" s="33"/>
      <c r="P460" s="33"/>
      <c r="Q460" s="33"/>
      <c r="X460" s="33"/>
      <c r="Y460" s="33"/>
    </row>
    <row r="461" spans="1:25" ht="15.75" customHeight="1">
      <c r="A461" s="33"/>
      <c r="B461" s="33"/>
      <c r="H461" s="33"/>
      <c r="I461" s="33"/>
      <c r="P461" s="33"/>
      <c r="Q461" s="33"/>
      <c r="X461" s="33"/>
      <c r="Y461" s="33"/>
    </row>
    <row r="462" spans="1:25" ht="15.75" customHeight="1">
      <c r="A462" s="33"/>
      <c r="B462" s="33"/>
      <c r="H462" s="33"/>
      <c r="I462" s="33"/>
      <c r="P462" s="33"/>
      <c r="Q462" s="33"/>
      <c r="X462" s="33"/>
      <c r="Y462" s="33"/>
    </row>
    <row r="463" spans="1:25" ht="15.75" customHeight="1">
      <c r="A463" s="33"/>
      <c r="B463" s="33"/>
      <c r="H463" s="33"/>
      <c r="I463" s="33"/>
      <c r="P463" s="33"/>
      <c r="Q463" s="33"/>
      <c r="X463" s="33"/>
      <c r="Y463" s="33"/>
    </row>
    <row r="464" spans="1:25" ht="15.75" customHeight="1">
      <c r="A464" s="33"/>
      <c r="B464" s="33"/>
      <c r="H464" s="33"/>
      <c r="I464" s="33"/>
      <c r="P464" s="33"/>
      <c r="Q464" s="33"/>
      <c r="X464" s="33"/>
      <c r="Y464" s="33"/>
    </row>
    <row r="465" spans="1:25" ht="15.75" customHeight="1">
      <c r="A465" s="33"/>
      <c r="B465" s="33"/>
      <c r="H465" s="33"/>
      <c r="I465" s="33"/>
      <c r="P465" s="33"/>
      <c r="Q465" s="33"/>
      <c r="X465" s="33"/>
      <c r="Y465" s="33"/>
    </row>
    <row r="466" spans="1:25" ht="15.75" customHeight="1">
      <c r="A466" s="33"/>
      <c r="B466" s="33"/>
      <c r="H466" s="33"/>
      <c r="I466" s="33"/>
      <c r="P466" s="33"/>
      <c r="Q466" s="33"/>
      <c r="X466" s="33"/>
      <c r="Y466" s="33"/>
    </row>
    <row r="467" spans="1:25" ht="15.75" customHeight="1">
      <c r="A467" s="33"/>
      <c r="B467" s="33"/>
      <c r="H467" s="33"/>
      <c r="I467" s="33"/>
      <c r="P467" s="33"/>
      <c r="Q467" s="33"/>
      <c r="X467" s="33"/>
      <c r="Y467" s="33"/>
    </row>
    <row r="468" spans="1:25" ht="15.75" customHeight="1">
      <c r="A468" s="33"/>
      <c r="B468" s="33"/>
      <c r="H468" s="33"/>
      <c r="I468" s="33"/>
      <c r="P468" s="33"/>
      <c r="Q468" s="33"/>
      <c r="X468" s="33"/>
      <c r="Y468" s="33"/>
    </row>
    <row r="469" spans="1:25" ht="15.75" customHeight="1">
      <c r="A469" s="33"/>
      <c r="B469" s="33"/>
      <c r="H469" s="33"/>
      <c r="I469" s="33"/>
      <c r="P469" s="33"/>
      <c r="Q469" s="33"/>
      <c r="X469" s="33"/>
      <c r="Y469" s="33"/>
    </row>
    <row r="470" spans="1:25" ht="15.75" customHeight="1">
      <c r="A470" s="33"/>
      <c r="B470" s="33"/>
      <c r="H470" s="33"/>
      <c r="I470" s="33"/>
      <c r="P470" s="33"/>
      <c r="Q470" s="33"/>
      <c r="X470" s="33"/>
      <c r="Y470" s="33"/>
    </row>
    <row r="471" spans="1:25" ht="15.75" customHeight="1">
      <c r="A471" s="33"/>
      <c r="B471" s="33"/>
      <c r="H471" s="33"/>
      <c r="I471" s="33"/>
      <c r="P471" s="33"/>
      <c r="Q471" s="33"/>
      <c r="X471" s="33"/>
      <c r="Y471" s="33"/>
    </row>
    <row r="472" spans="1:25" ht="15.75" customHeight="1">
      <c r="A472" s="33"/>
      <c r="B472" s="33"/>
      <c r="H472" s="33"/>
      <c r="I472" s="33"/>
      <c r="P472" s="33"/>
      <c r="Q472" s="33"/>
      <c r="X472" s="33"/>
      <c r="Y472" s="33"/>
    </row>
    <row r="473" spans="1:25" ht="15.75" customHeight="1">
      <c r="A473" s="33"/>
      <c r="B473" s="33"/>
      <c r="H473" s="33"/>
      <c r="I473" s="33"/>
      <c r="P473" s="33"/>
      <c r="Q473" s="33"/>
      <c r="X473" s="33"/>
      <c r="Y473" s="33"/>
    </row>
    <row r="474" spans="1:25" ht="15.75" customHeight="1">
      <c r="A474" s="33"/>
      <c r="B474" s="33"/>
      <c r="H474" s="33"/>
      <c r="I474" s="33"/>
      <c r="P474" s="33"/>
      <c r="Q474" s="33"/>
      <c r="X474" s="33"/>
      <c r="Y474" s="33"/>
    </row>
    <row r="475" spans="1:25" ht="15.75" customHeight="1">
      <c r="A475" s="33"/>
      <c r="B475" s="33"/>
      <c r="H475" s="33"/>
      <c r="I475" s="33"/>
      <c r="P475" s="33"/>
      <c r="Q475" s="33"/>
      <c r="X475" s="33"/>
      <c r="Y475" s="33"/>
    </row>
    <row r="476" spans="1:25" ht="15.75" customHeight="1">
      <c r="A476" s="33"/>
      <c r="B476" s="33"/>
      <c r="H476" s="33"/>
      <c r="I476" s="33"/>
      <c r="P476" s="33"/>
      <c r="Q476" s="33"/>
      <c r="X476" s="33"/>
      <c r="Y476" s="33"/>
    </row>
    <row r="477" spans="1:25" ht="15.75" customHeight="1">
      <c r="A477" s="33"/>
      <c r="B477" s="33"/>
      <c r="H477" s="33"/>
      <c r="I477" s="33"/>
      <c r="P477" s="33"/>
      <c r="Q477" s="33"/>
      <c r="X477" s="33"/>
      <c r="Y477" s="33"/>
    </row>
    <row r="478" spans="1:25" ht="15.75" customHeight="1">
      <c r="A478" s="33"/>
      <c r="B478" s="33"/>
      <c r="H478" s="33"/>
      <c r="I478" s="33"/>
      <c r="P478" s="33"/>
      <c r="Q478" s="33"/>
      <c r="X478" s="33"/>
      <c r="Y478" s="33"/>
    </row>
    <row r="479" spans="1:25" ht="15.75" customHeight="1">
      <c r="A479" s="33"/>
      <c r="B479" s="33"/>
      <c r="H479" s="33"/>
      <c r="I479" s="33"/>
      <c r="P479" s="33"/>
      <c r="Q479" s="33"/>
      <c r="X479" s="33"/>
      <c r="Y479" s="33"/>
    </row>
    <row r="480" spans="1:25" ht="15.75" customHeight="1">
      <c r="A480" s="33"/>
      <c r="B480" s="33"/>
      <c r="H480" s="33"/>
      <c r="I480" s="33"/>
      <c r="P480" s="33"/>
      <c r="Q480" s="33"/>
      <c r="X480" s="33"/>
      <c r="Y480" s="33"/>
    </row>
    <row r="481" spans="1:25" ht="15.75" customHeight="1">
      <c r="A481" s="33"/>
      <c r="B481" s="33"/>
      <c r="H481" s="33"/>
      <c r="I481" s="33"/>
      <c r="P481" s="33"/>
      <c r="Q481" s="33"/>
      <c r="X481" s="33"/>
      <c r="Y481" s="33"/>
    </row>
    <row r="482" spans="1:25" ht="15.75" customHeight="1">
      <c r="A482" s="33"/>
      <c r="B482" s="33"/>
      <c r="H482" s="33"/>
      <c r="I482" s="33"/>
      <c r="P482" s="33"/>
      <c r="Q482" s="33"/>
      <c r="X482" s="33"/>
      <c r="Y482" s="33"/>
    </row>
    <row r="483" spans="1:25" ht="15.75" customHeight="1">
      <c r="A483" s="33"/>
      <c r="B483" s="33"/>
      <c r="H483" s="33"/>
      <c r="I483" s="33"/>
      <c r="P483" s="33"/>
      <c r="Q483" s="33"/>
      <c r="X483" s="33"/>
      <c r="Y483" s="33"/>
    </row>
    <row r="484" spans="1:25" ht="15.75" customHeight="1">
      <c r="A484" s="33"/>
      <c r="B484" s="33"/>
      <c r="H484" s="33"/>
      <c r="I484" s="33"/>
      <c r="P484" s="33"/>
      <c r="Q484" s="33"/>
      <c r="X484" s="33"/>
      <c r="Y484" s="33"/>
    </row>
    <row r="485" spans="1:25" ht="15.75" customHeight="1">
      <c r="A485" s="33"/>
      <c r="B485" s="33"/>
      <c r="H485" s="33"/>
      <c r="I485" s="33"/>
      <c r="P485" s="33"/>
      <c r="Q485" s="33"/>
      <c r="X485" s="33"/>
      <c r="Y485" s="33"/>
    </row>
    <row r="486" spans="1:25" ht="15.75" customHeight="1">
      <c r="A486" s="33"/>
      <c r="B486" s="33"/>
      <c r="H486" s="33"/>
      <c r="I486" s="33"/>
      <c r="P486" s="33"/>
      <c r="Q486" s="33"/>
      <c r="X486" s="33"/>
      <c r="Y486" s="33"/>
    </row>
    <row r="487" spans="1:25" ht="15.75" customHeight="1">
      <c r="A487" s="33"/>
      <c r="B487" s="33"/>
      <c r="H487" s="33"/>
      <c r="I487" s="33"/>
      <c r="P487" s="33"/>
      <c r="Q487" s="33"/>
      <c r="X487" s="33"/>
      <c r="Y487" s="33"/>
    </row>
    <row r="488" spans="1:25" ht="15.75" customHeight="1">
      <c r="A488" s="33"/>
      <c r="B488" s="33"/>
      <c r="H488" s="33"/>
      <c r="I488" s="33"/>
      <c r="P488" s="33"/>
      <c r="Q488" s="33"/>
      <c r="X488" s="33"/>
      <c r="Y488" s="33"/>
    </row>
    <row r="489" spans="1:25" ht="15.75" customHeight="1">
      <c r="A489" s="33"/>
      <c r="B489" s="33"/>
      <c r="H489" s="33"/>
      <c r="I489" s="33"/>
      <c r="P489" s="33"/>
      <c r="Q489" s="33"/>
      <c r="X489" s="33"/>
      <c r="Y489" s="33"/>
    </row>
    <row r="490" spans="1:25" ht="15.75" customHeight="1">
      <c r="A490" s="33"/>
      <c r="B490" s="33"/>
      <c r="H490" s="33"/>
      <c r="I490" s="33"/>
      <c r="P490" s="33"/>
      <c r="Q490" s="33"/>
      <c r="X490" s="33"/>
      <c r="Y490" s="33"/>
    </row>
    <row r="491" spans="1:25" ht="15.75" customHeight="1">
      <c r="A491" s="33"/>
      <c r="B491" s="33"/>
      <c r="H491" s="33"/>
      <c r="I491" s="33"/>
      <c r="P491" s="33"/>
      <c r="Q491" s="33"/>
      <c r="X491" s="33"/>
      <c r="Y491" s="33"/>
    </row>
    <row r="492" spans="1:25" ht="15.75" customHeight="1">
      <c r="A492" s="33"/>
      <c r="B492" s="33"/>
      <c r="H492" s="33"/>
      <c r="I492" s="33"/>
      <c r="P492" s="33"/>
      <c r="Q492" s="33"/>
      <c r="X492" s="33"/>
      <c r="Y492" s="33"/>
    </row>
    <row r="493" spans="1:25" ht="15.75" customHeight="1">
      <c r="A493" s="33"/>
      <c r="B493" s="33"/>
      <c r="H493" s="33"/>
      <c r="I493" s="33"/>
      <c r="P493" s="33"/>
      <c r="Q493" s="33"/>
      <c r="X493" s="33"/>
      <c r="Y493" s="33"/>
    </row>
    <row r="494" spans="1:25" ht="15.75" customHeight="1">
      <c r="A494" s="33"/>
      <c r="B494" s="33"/>
      <c r="H494" s="33"/>
      <c r="I494" s="33"/>
      <c r="P494" s="33"/>
      <c r="Q494" s="33"/>
      <c r="X494" s="33"/>
      <c r="Y494" s="33"/>
    </row>
    <row r="495" spans="1:25" ht="15.75" customHeight="1">
      <c r="A495" s="33"/>
      <c r="B495" s="33"/>
      <c r="H495" s="33"/>
      <c r="I495" s="33"/>
      <c r="P495" s="33"/>
      <c r="Q495" s="33"/>
      <c r="X495" s="33"/>
      <c r="Y495" s="33"/>
    </row>
    <row r="496" spans="1:25" ht="15.75" customHeight="1">
      <c r="A496" s="33"/>
      <c r="B496" s="33"/>
      <c r="H496" s="33"/>
      <c r="I496" s="33"/>
      <c r="P496" s="33"/>
      <c r="Q496" s="33"/>
      <c r="X496" s="33"/>
      <c r="Y496" s="33"/>
    </row>
    <row r="497" spans="1:25" ht="15.75" customHeight="1">
      <c r="A497" s="33"/>
      <c r="B497" s="33"/>
      <c r="H497" s="33"/>
      <c r="I497" s="33"/>
      <c r="P497" s="33"/>
      <c r="Q497" s="33"/>
      <c r="X497" s="33"/>
      <c r="Y497" s="33"/>
    </row>
    <row r="498" spans="1:25" ht="15.75" customHeight="1">
      <c r="A498" s="33"/>
      <c r="B498" s="33"/>
      <c r="H498" s="33"/>
      <c r="I498" s="33"/>
      <c r="P498" s="33"/>
      <c r="Q498" s="33"/>
      <c r="X498" s="33"/>
      <c r="Y498" s="33"/>
    </row>
    <row r="499" spans="1:25" ht="15.75" customHeight="1">
      <c r="A499" s="33"/>
      <c r="B499" s="33"/>
      <c r="H499" s="33"/>
      <c r="I499" s="33"/>
      <c r="P499" s="33"/>
      <c r="Q499" s="33"/>
      <c r="X499" s="33"/>
      <c r="Y499" s="33"/>
    </row>
    <row r="500" spans="1:25" ht="15.75" customHeight="1">
      <c r="A500" s="33"/>
      <c r="B500" s="33"/>
      <c r="H500" s="33"/>
      <c r="I500" s="33"/>
      <c r="P500" s="33"/>
      <c r="Q500" s="33"/>
      <c r="X500" s="33"/>
      <c r="Y500" s="33"/>
    </row>
    <row r="501" spans="1:25" ht="15.75" customHeight="1">
      <c r="A501" s="33"/>
      <c r="B501" s="33"/>
      <c r="H501" s="33"/>
      <c r="I501" s="33"/>
      <c r="P501" s="33"/>
      <c r="Q501" s="33"/>
      <c r="X501" s="33"/>
      <c r="Y501" s="33"/>
    </row>
    <row r="502" spans="1:25" ht="15.75" customHeight="1">
      <c r="A502" s="33"/>
      <c r="B502" s="33"/>
      <c r="H502" s="33"/>
      <c r="I502" s="33"/>
      <c r="P502" s="33"/>
      <c r="Q502" s="33"/>
      <c r="X502" s="33"/>
      <c r="Y502" s="33"/>
    </row>
    <row r="503" spans="1:25" ht="15.75" customHeight="1">
      <c r="A503" s="33"/>
      <c r="B503" s="33"/>
      <c r="H503" s="33"/>
      <c r="I503" s="33"/>
      <c r="P503" s="33"/>
      <c r="Q503" s="33"/>
      <c r="X503" s="33"/>
      <c r="Y503" s="33"/>
    </row>
    <row r="504" spans="1:25" ht="15.75" customHeight="1">
      <c r="A504" s="33"/>
      <c r="B504" s="33"/>
      <c r="H504" s="33"/>
      <c r="I504" s="33"/>
      <c r="P504" s="33"/>
      <c r="Q504" s="33"/>
      <c r="X504" s="33"/>
      <c r="Y504" s="33"/>
    </row>
    <row r="505" spans="1:25" ht="15.75" customHeight="1">
      <c r="A505" s="33"/>
      <c r="B505" s="33"/>
      <c r="H505" s="33"/>
      <c r="I505" s="33"/>
      <c r="P505" s="33"/>
      <c r="Q505" s="33"/>
      <c r="X505" s="33"/>
      <c r="Y505" s="33"/>
    </row>
    <row r="506" spans="1:25" ht="15.75" customHeight="1">
      <c r="A506" s="33"/>
      <c r="B506" s="33"/>
      <c r="H506" s="33"/>
      <c r="I506" s="33"/>
      <c r="P506" s="33"/>
      <c r="Q506" s="33"/>
      <c r="X506" s="33"/>
      <c r="Y506" s="33"/>
    </row>
    <row r="507" spans="1:25" ht="15.75" customHeight="1">
      <c r="A507" s="33"/>
      <c r="B507" s="33"/>
      <c r="H507" s="33"/>
      <c r="I507" s="33"/>
      <c r="P507" s="33"/>
      <c r="Q507" s="33"/>
      <c r="X507" s="33"/>
      <c r="Y507" s="33"/>
    </row>
    <row r="508" spans="1:25" ht="15.75" customHeight="1">
      <c r="A508" s="33"/>
      <c r="B508" s="33"/>
      <c r="H508" s="33"/>
      <c r="I508" s="33"/>
      <c r="P508" s="33"/>
      <c r="Q508" s="33"/>
      <c r="X508" s="33"/>
      <c r="Y508" s="33"/>
    </row>
    <row r="509" spans="1:25" ht="15.75" customHeight="1">
      <c r="A509" s="33"/>
      <c r="B509" s="33"/>
      <c r="H509" s="33"/>
      <c r="I509" s="33"/>
      <c r="P509" s="33"/>
      <c r="Q509" s="33"/>
      <c r="X509" s="33"/>
      <c r="Y509" s="33"/>
    </row>
    <row r="510" spans="1:25" ht="15.75" customHeight="1">
      <c r="A510" s="33"/>
      <c r="B510" s="33"/>
      <c r="H510" s="33"/>
      <c r="I510" s="33"/>
      <c r="P510" s="33"/>
      <c r="Q510" s="33"/>
      <c r="X510" s="33"/>
      <c r="Y510" s="33"/>
    </row>
    <row r="511" spans="1:25" ht="15.75" customHeight="1">
      <c r="A511" s="33"/>
      <c r="B511" s="33"/>
      <c r="H511" s="33"/>
      <c r="I511" s="33"/>
      <c r="P511" s="33"/>
      <c r="Q511" s="33"/>
      <c r="X511" s="33"/>
      <c r="Y511" s="33"/>
    </row>
    <row r="512" spans="1:25" ht="15.75" customHeight="1">
      <c r="A512" s="33"/>
      <c r="B512" s="33"/>
      <c r="H512" s="33"/>
      <c r="I512" s="33"/>
      <c r="P512" s="33"/>
      <c r="Q512" s="33"/>
      <c r="X512" s="33"/>
      <c r="Y512" s="33"/>
    </row>
    <row r="513" spans="1:25" ht="15.75" customHeight="1">
      <c r="A513" s="33"/>
      <c r="B513" s="33"/>
      <c r="H513" s="33"/>
      <c r="I513" s="33"/>
      <c r="P513" s="33"/>
      <c r="Q513" s="33"/>
      <c r="X513" s="33"/>
      <c r="Y513" s="33"/>
    </row>
    <row r="514" spans="1:25" ht="15.75" customHeight="1">
      <c r="A514" s="33"/>
      <c r="B514" s="33"/>
      <c r="H514" s="33"/>
      <c r="I514" s="33"/>
      <c r="P514" s="33"/>
      <c r="Q514" s="33"/>
      <c r="X514" s="33"/>
      <c r="Y514" s="33"/>
    </row>
    <row r="515" spans="1:25" ht="15.75" customHeight="1">
      <c r="A515" s="33"/>
      <c r="B515" s="33"/>
      <c r="H515" s="33"/>
      <c r="I515" s="33"/>
      <c r="P515" s="33"/>
      <c r="Q515" s="33"/>
      <c r="X515" s="33"/>
      <c r="Y515" s="33"/>
    </row>
    <row r="516" spans="1:25" ht="15.75" customHeight="1">
      <c r="A516" s="33"/>
      <c r="B516" s="33"/>
      <c r="H516" s="33"/>
      <c r="I516" s="33"/>
      <c r="P516" s="33"/>
      <c r="Q516" s="33"/>
      <c r="X516" s="33"/>
      <c r="Y516" s="33"/>
    </row>
    <row r="517" spans="1:25" ht="15.75" customHeight="1">
      <c r="A517" s="33"/>
      <c r="B517" s="33"/>
      <c r="H517" s="33"/>
      <c r="I517" s="33"/>
      <c r="P517" s="33"/>
      <c r="Q517" s="33"/>
      <c r="X517" s="33"/>
      <c r="Y517" s="33"/>
    </row>
    <row r="518" spans="1:25" ht="15.75" customHeight="1">
      <c r="A518" s="33"/>
      <c r="B518" s="33"/>
      <c r="H518" s="33"/>
      <c r="I518" s="33"/>
      <c r="P518" s="33"/>
      <c r="Q518" s="33"/>
      <c r="X518" s="33"/>
      <c r="Y518" s="33"/>
    </row>
    <row r="519" spans="1:25" ht="15.75" customHeight="1">
      <c r="A519" s="33"/>
      <c r="B519" s="33"/>
      <c r="H519" s="33"/>
      <c r="I519" s="33"/>
      <c r="P519" s="33"/>
      <c r="Q519" s="33"/>
      <c r="X519" s="33"/>
      <c r="Y519" s="33"/>
    </row>
    <row r="520" spans="1:25" ht="15.75" customHeight="1">
      <c r="A520" s="33"/>
      <c r="B520" s="33"/>
      <c r="H520" s="33"/>
      <c r="I520" s="33"/>
      <c r="P520" s="33"/>
      <c r="Q520" s="33"/>
      <c r="X520" s="33"/>
      <c r="Y520" s="33"/>
    </row>
    <row r="521" spans="1:25" ht="15.75" customHeight="1">
      <c r="A521" s="33"/>
      <c r="B521" s="33"/>
      <c r="H521" s="33"/>
      <c r="I521" s="33"/>
      <c r="P521" s="33"/>
      <c r="Q521" s="33"/>
      <c r="X521" s="33"/>
      <c r="Y521" s="33"/>
    </row>
    <row r="522" spans="1:25" ht="15.75" customHeight="1">
      <c r="A522" s="33"/>
      <c r="B522" s="33"/>
      <c r="H522" s="33"/>
      <c r="I522" s="33"/>
      <c r="P522" s="33"/>
      <c r="Q522" s="33"/>
      <c r="X522" s="33"/>
      <c r="Y522" s="33"/>
    </row>
    <row r="523" spans="1:25" ht="15.75" customHeight="1">
      <c r="A523" s="33"/>
      <c r="B523" s="33"/>
      <c r="H523" s="33"/>
      <c r="I523" s="33"/>
      <c r="P523" s="33"/>
      <c r="Q523" s="33"/>
      <c r="X523" s="33"/>
      <c r="Y523" s="33"/>
    </row>
    <row r="524" spans="1:25" ht="15.75" customHeight="1">
      <c r="A524" s="33"/>
      <c r="B524" s="33"/>
      <c r="H524" s="33"/>
      <c r="I524" s="33"/>
      <c r="P524" s="33"/>
      <c r="Q524" s="33"/>
      <c r="X524" s="33"/>
      <c r="Y524" s="33"/>
    </row>
    <row r="525" spans="1:25" ht="15.75" customHeight="1">
      <c r="A525" s="33"/>
      <c r="B525" s="33"/>
      <c r="H525" s="33"/>
      <c r="I525" s="33"/>
      <c r="P525" s="33"/>
      <c r="Q525" s="33"/>
      <c r="X525" s="33"/>
      <c r="Y525" s="33"/>
    </row>
    <row r="526" spans="1:25" ht="15.75" customHeight="1">
      <c r="A526" s="33"/>
      <c r="B526" s="33"/>
      <c r="H526" s="33"/>
      <c r="I526" s="33"/>
      <c r="P526" s="33"/>
      <c r="Q526" s="33"/>
      <c r="X526" s="33"/>
      <c r="Y526" s="33"/>
    </row>
    <row r="527" spans="1:25" ht="15.75" customHeight="1">
      <c r="A527" s="33"/>
      <c r="B527" s="33"/>
      <c r="H527" s="33"/>
      <c r="I527" s="33"/>
      <c r="P527" s="33"/>
      <c r="Q527" s="33"/>
      <c r="X527" s="33"/>
      <c r="Y527" s="33"/>
    </row>
    <row r="528" spans="1:25" ht="15.75" customHeight="1">
      <c r="A528" s="33"/>
      <c r="B528" s="33"/>
      <c r="H528" s="33"/>
      <c r="I528" s="33"/>
      <c r="P528" s="33"/>
      <c r="Q528" s="33"/>
      <c r="X528" s="33"/>
      <c r="Y528" s="33"/>
    </row>
    <row r="529" spans="1:25" ht="15.75" customHeight="1">
      <c r="A529" s="33"/>
      <c r="B529" s="33"/>
      <c r="H529" s="33"/>
      <c r="I529" s="33"/>
      <c r="P529" s="33"/>
      <c r="Q529" s="33"/>
      <c r="X529" s="33"/>
      <c r="Y529" s="33"/>
    </row>
    <row r="530" spans="1:25" ht="15.75" customHeight="1">
      <c r="A530" s="33"/>
      <c r="B530" s="33"/>
      <c r="H530" s="33"/>
      <c r="I530" s="33"/>
      <c r="P530" s="33"/>
      <c r="Q530" s="33"/>
      <c r="X530" s="33"/>
      <c r="Y530" s="33"/>
    </row>
    <row r="531" spans="1:25" ht="15.75" customHeight="1">
      <c r="A531" s="33"/>
      <c r="B531" s="33"/>
      <c r="H531" s="33"/>
      <c r="I531" s="33"/>
      <c r="P531" s="33"/>
      <c r="Q531" s="33"/>
      <c r="X531" s="33"/>
      <c r="Y531" s="33"/>
    </row>
    <row r="532" spans="1:25" ht="15.75" customHeight="1">
      <c r="A532" s="33"/>
      <c r="B532" s="33"/>
      <c r="H532" s="33"/>
      <c r="I532" s="33"/>
      <c r="P532" s="33"/>
      <c r="Q532" s="33"/>
      <c r="X532" s="33"/>
      <c r="Y532" s="33"/>
    </row>
    <row r="533" spans="1:25" ht="15.75" customHeight="1">
      <c r="A533" s="33"/>
      <c r="B533" s="33"/>
      <c r="H533" s="33"/>
      <c r="I533" s="33"/>
      <c r="P533" s="33"/>
      <c r="Q533" s="33"/>
      <c r="X533" s="33"/>
      <c r="Y533" s="33"/>
    </row>
    <row r="534" spans="1:25" ht="15.75" customHeight="1">
      <c r="A534" s="33"/>
      <c r="B534" s="33"/>
      <c r="H534" s="33"/>
      <c r="I534" s="33"/>
      <c r="P534" s="33"/>
      <c r="Q534" s="33"/>
      <c r="X534" s="33"/>
      <c r="Y534" s="33"/>
    </row>
    <row r="535" spans="1:25" ht="15.75" customHeight="1">
      <c r="A535" s="33"/>
      <c r="B535" s="33"/>
      <c r="H535" s="33"/>
      <c r="I535" s="33"/>
      <c r="P535" s="33"/>
      <c r="Q535" s="33"/>
      <c r="X535" s="33"/>
      <c r="Y535" s="33"/>
    </row>
    <row r="536" spans="1:25" ht="15.75" customHeight="1">
      <c r="A536" s="33"/>
      <c r="B536" s="33"/>
      <c r="H536" s="33"/>
      <c r="I536" s="33"/>
      <c r="P536" s="33"/>
      <c r="Q536" s="33"/>
      <c r="X536" s="33"/>
      <c r="Y536" s="33"/>
    </row>
    <row r="537" spans="1:25" ht="15.75" customHeight="1">
      <c r="A537" s="33"/>
      <c r="B537" s="33"/>
      <c r="H537" s="33"/>
      <c r="I537" s="33"/>
      <c r="P537" s="33"/>
      <c r="Q537" s="33"/>
      <c r="X537" s="33"/>
      <c r="Y537" s="33"/>
    </row>
    <row r="538" spans="1:25" ht="15.75" customHeight="1">
      <c r="A538" s="33"/>
      <c r="B538" s="33"/>
      <c r="H538" s="33"/>
      <c r="I538" s="33"/>
      <c r="P538" s="33"/>
      <c r="Q538" s="33"/>
      <c r="X538" s="33"/>
      <c r="Y538" s="33"/>
    </row>
    <row r="539" spans="1:25" ht="15.75" customHeight="1">
      <c r="A539" s="33"/>
      <c r="B539" s="33"/>
      <c r="H539" s="33"/>
      <c r="I539" s="33"/>
      <c r="P539" s="33"/>
      <c r="Q539" s="33"/>
      <c r="X539" s="33"/>
      <c r="Y539" s="33"/>
    </row>
    <row r="540" spans="1:25" ht="15.75" customHeight="1">
      <c r="A540" s="33"/>
      <c r="B540" s="33"/>
      <c r="H540" s="33"/>
      <c r="I540" s="33"/>
      <c r="P540" s="33"/>
      <c r="Q540" s="33"/>
      <c r="X540" s="33"/>
      <c r="Y540" s="33"/>
    </row>
    <row r="541" spans="1:25" ht="15.75" customHeight="1">
      <c r="A541" s="33"/>
      <c r="B541" s="33"/>
      <c r="H541" s="33"/>
      <c r="I541" s="33"/>
      <c r="P541" s="33"/>
      <c r="Q541" s="33"/>
      <c r="X541" s="33"/>
      <c r="Y541" s="33"/>
    </row>
    <row r="542" spans="1:25" ht="15.75" customHeight="1">
      <c r="A542" s="33"/>
      <c r="B542" s="33"/>
      <c r="H542" s="33"/>
      <c r="I542" s="33"/>
      <c r="P542" s="33"/>
      <c r="Q542" s="33"/>
      <c r="X542" s="33"/>
      <c r="Y542" s="33"/>
    </row>
    <row r="543" spans="1:25" ht="15.75" customHeight="1">
      <c r="A543" s="33"/>
      <c r="B543" s="33"/>
      <c r="H543" s="33"/>
      <c r="I543" s="33"/>
      <c r="P543" s="33"/>
      <c r="Q543" s="33"/>
      <c r="X543" s="33"/>
      <c r="Y543" s="33"/>
    </row>
    <row r="544" spans="1:25" ht="15.75" customHeight="1">
      <c r="A544" s="33"/>
      <c r="B544" s="33"/>
      <c r="H544" s="33"/>
      <c r="I544" s="33"/>
      <c r="P544" s="33"/>
      <c r="Q544" s="33"/>
      <c r="X544" s="33"/>
      <c r="Y544" s="33"/>
    </row>
    <row r="545" spans="1:25" ht="15.75" customHeight="1">
      <c r="A545" s="33"/>
      <c r="B545" s="33"/>
      <c r="H545" s="33"/>
      <c r="I545" s="33"/>
      <c r="P545" s="33"/>
      <c r="Q545" s="33"/>
      <c r="X545" s="33"/>
      <c r="Y545" s="33"/>
    </row>
    <row r="546" spans="1:25" ht="15.75" customHeight="1">
      <c r="A546" s="33"/>
      <c r="B546" s="33"/>
      <c r="H546" s="33"/>
      <c r="I546" s="33"/>
      <c r="P546" s="33"/>
      <c r="Q546" s="33"/>
      <c r="X546" s="33"/>
      <c r="Y546" s="33"/>
    </row>
    <row r="547" spans="1:25" ht="15.75" customHeight="1">
      <c r="A547" s="33"/>
      <c r="B547" s="33"/>
      <c r="H547" s="33"/>
      <c r="I547" s="33"/>
      <c r="P547" s="33"/>
      <c r="Q547" s="33"/>
      <c r="X547" s="33"/>
      <c r="Y547" s="33"/>
    </row>
    <row r="548" spans="1:25" ht="15.75" customHeight="1">
      <c r="A548" s="33"/>
      <c r="B548" s="33"/>
      <c r="H548" s="33"/>
      <c r="I548" s="33"/>
      <c r="P548" s="33"/>
      <c r="Q548" s="33"/>
      <c r="X548" s="33"/>
      <c r="Y548" s="33"/>
    </row>
    <row r="549" spans="1:25" ht="15.75" customHeight="1">
      <c r="A549" s="33"/>
      <c r="B549" s="33"/>
      <c r="H549" s="33"/>
      <c r="I549" s="33"/>
      <c r="P549" s="33"/>
      <c r="Q549" s="33"/>
      <c r="X549" s="33"/>
      <c r="Y549" s="33"/>
    </row>
    <row r="550" spans="1:25" ht="15.75" customHeight="1">
      <c r="A550" s="33"/>
      <c r="B550" s="33"/>
      <c r="H550" s="33"/>
      <c r="I550" s="33"/>
      <c r="P550" s="33"/>
      <c r="Q550" s="33"/>
      <c r="X550" s="33"/>
      <c r="Y550" s="33"/>
    </row>
    <row r="551" spans="1:25" ht="15.75" customHeight="1">
      <c r="A551" s="33"/>
      <c r="B551" s="33"/>
      <c r="H551" s="33"/>
      <c r="I551" s="33"/>
      <c r="P551" s="33"/>
      <c r="Q551" s="33"/>
      <c r="X551" s="33"/>
      <c r="Y551" s="33"/>
    </row>
    <row r="552" spans="1:25" ht="15.75" customHeight="1">
      <c r="A552" s="33"/>
      <c r="B552" s="33"/>
      <c r="H552" s="33"/>
      <c r="I552" s="33"/>
      <c r="P552" s="33"/>
      <c r="Q552" s="33"/>
      <c r="X552" s="33"/>
      <c r="Y552" s="33"/>
    </row>
    <row r="553" spans="1:25" ht="15.75" customHeight="1">
      <c r="A553" s="33"/>
      <c r="B553" s="33"/>
      <c r="H553" s="33"/>
      <c r="I553" s="33"/>
      <c r="P553" s="33"/>
      <c r="Q553" s="33"/>
      <c r="X553" s="33"/>
      <c r="Y553" s="33"/>
    </row>
    <row r="554" spans="1:25" ht="15.75" customHeight="1">
      <c r="A554" s="33"/>
      <c r="B554" s="33"/>
      <c r="H554" s="33"/>
      <c r="I554" s="33"/>
      <c r="P554" s="33"/>
      <c r="Q554" s="33"/>
      <c r="X554" s="33"/>
      <c r="Y554" s="33"/>
    </row>
    <row r="555" spans="1:25" ht="15.75" customHeight="1">
      <c r="A555" s="33"/>
      <c r="B555" s="33"/>
      <c r="H555" s="33"/>
      <c r="I555" s="33"/>
      <c r="P555" s="33"/>
      <c r="Q555" s="33"/>
      <c r="X555" s="33"/>
      <c r="Y555" s="33"/>
    </row>
    <row r="556" spans="1:25" ht="15.75" customHeight="1">
      <c r="A556" s="33"/>
      <c r="B556" s="33"/>
      <c r="H556" s="33"/>
      <c r="I556" s="33"/>
      <c r="P556" s="33"/>
      <c r="Q556" s="33"/>
      <c r="X556" s="33"/>
      <c r="Y556" s="33"/>
    </row>
    <row r="557" spans="1:25" ht="15.75" customHeight="1">
      <c r="A557" s="33"/>
      <c r="B557" s="33"/>
      <c r="H557" s="33"/>
      <c r="I557" s="33"/>
      <c r="P557" s="33"/>
      <c r="Q557" s="33"/>
      <c r="X557" s="33"/>
      <c r="Y557" s="33"/>
    </row>
    <row r="558" spans="1:25" ht="15.75" customHeight="1">
      <c r="A558" s="33"/>
      <c r="B558" s="33"/>
      <c r="H558" s="33"/>
      <c r="I558" s="33"/>
      <c r="P558" s="33"/>
      <c r="Q558" s="33"/>
      <c r="X558" s="33"/>
      <c r="Y558" s="33"/>
    </row>
    <row r="559" spans="1:25" ht="15.75" customHeight="1">
      <c r="A559" s="33"/>
      <c r="B559" s="33"/>
      <c r="H559" s="33"/>
      <c r="I559" s="33"/>
      <c r="P559" s="33"/>
      <c r="Q559" s="33"/>
      <c r="X559" s="33"/>
      <c r="Y559" s="33"/>
    </row>
    <row r="560" spans="1:25" ht="15.75" customHeight="1">
      <c r="A560" s="33"/>
      <c r="B560" s="33"/>
      <c r="H560" s="33"/>
      <c r="I560" s="33"/>
      <c r="P560" s="33"/>
      <c r="Q560" s="33"/>
      <c r="X560" s="33"/>
      <c r="Y560" s="33"/>
    </row>
    <row r="561" spans="1:25" ht="15.75" customHeight="1">
      <c r="A561" s="33"/>
      <c r="B561" s="33"/>
      <c r="H561" s="33"/>
      <c r="I561" s="33"/>
      <c r="P561" s="33"/>
      <c r="Q561" s="33"/>
      <c r="X561" s="33"/>
      <c r="Y561" s="33"/>
    </row>
    <row r="562" spans="1:25" ht="15.75" customHeight="1">
      <c r="A562" s="33"/>
      <c r="B562" s="33"/>
      <c r="H562" s="33"/>
      <c r="I562" s="33"/>
      <c r="P562" s="33"/>
      <c r="Q562" s="33"/>
      <c r="X562" s="33"/>
      <c r="Y562" s="33"/>
    </row>
    <row r="563" spans="1:25" ht="15.75" customHeight="1">
      <c r="A563" s="33"/>
      <c r="B563" s="33"/>
      <c r="H563" s="33"/>
      <c r="I563" s="33"/>
      <c r="P563" s="33"/>
      <c r="Q563" s="33"/>
      <c r="X563" s="33"/>
      <c r="Y563" s="33"/>
    </row>
    <row r="564" spans="1:25" ht="15.75" customHeight="1">
      <c r="A564" s="33"/>
      <c r="B564" s="33"/>
      <c r="H564" s="33"/>
      <c r="I564" s="33"/>
      <c r="P564" s="33"/>
      <c r="Q564" s="33"/>
      <c r="X564" s="33"/>
      <c r="Y564" s="33"/>
    </row>
    <row r="565" spans="1:25" ht="15.75" customHeight="1">
      <c r="A565" s="33"/>
      <c r="B565" s="33"/>
      <c r="H565" s="33"/>
      <c r="I565" s="33"/>
      <c r="P565" s="33"/>
      <c r="Q565" s="33"/>
      <c r="X565" s="33"/>
      <c r="Y565" s="33"/>
    </row>
    <row r="566" spans="1:25" ht="15.75" customHeight="1">
      <c r="A566" s="33"/>
      <c r="B566" s="33"/>
      <c r="H566" s="33"/>
      <c r="I566" s="33"/>
      <c r="P566" s="33"/>
      <c r="Q566" s="33"/>
      <c r="X566" s="33"/>
      <c r="Y566" s="33"/>
    </row>
    <row r="567" spans="1:25" ht="15.75" customHeight="1">
      <c r="A567" s="33"/>
      <c r="B567" s="33"/>
      <c r="H567" s="33"/>
      <c r="I567" s="33"/>
      <c r="P567" s="33"/>
      <c r="Q567" s="33"/>
      <c r="X567" s="33"/>
      <c r="Y567" s="33"/>
    </row>
    <row r="568" spans="1:25" ht="15.75" customHeight="1">
      <c r="A568" s="33"/>
      <c r="B568" s="33"/>
      <c r="H568" s="33"/>
      <c r="I568" s="33"/>
      <c r="P568" s="33"/>
      <c r="Q568" s="33"/>
      <c r="X568" s="33"/>
      <c r="Y568" s="33"/>
    </row>
    <row r="569" spans="1:25" ht="15.75" customHeight="1">
      <c r="A569" s="33"/>
      <c r="B569" s="33"/>
      <c r="H569" s="33"/>
      <c r="I569" s="33"/>
      <c r="P569" s="33"/>
      <c r="Q569" s="33"/>
      <c r="X569" s="33"/>
      <c r="Y569" s="33"/>
    </row>
    <row r="570" spans="1:25" ht="15.75" customHeight="1">
      <c r="A570" s="33"/>
      <c r="B570" s="33"/>
      <c r="H570" s="33"/>
      <c r="I570" s="33"/>
      <c r="P570" s="33"/>
      <c r="Q570" s="33"/>
      <c r="X570" s="33"/>
      <c r="Y570" s="33"/>
    </row>
    <row r="571" spans="1:25" ht="15.75" customHeight="1">
      <c r="A571" s="33"/>
      <c r="B571" s="33"/>
      <c r="H571" s="33"/>
      <c r="I571" s="33"/>
      <c r="P571" s="33"/>
      <c r="Q571" s="33"/>
      <c r="X571" s="33"/>
      <c r="Y571" s="33"/>
    </row>
    <row r="572" spans="1:25" ht="15.75" customHeight="1">
      <c r="A572" s="33"/>
      <c r="B572" s="33"/>
      <c r="H572" s="33"/>
      <c r="I572" s="33"/>
      <c r="P572" s="33"/>
      <c r="Q572" s="33"/>
      <c r="X572" s="33"/>
      <c r="Y572" s="33"/>
    </row>
    <row r="573" spans="1:25" ht="15.75" customHeight="1">
      <c r="A573" s="33"/>
      <c r="B573" s="33"/>
      <c r="H573" s="33"/>
      <c r="I573" s="33"/>
      <c r="P573" s="33"/>
      <c r="Q573" s="33"/>
      <c r="X573" s="33"/>
      <c r="Y573" s="33"/>
    </row>
    <row r="574" spans="1:25" ht="15.75" customHeight="1">
      <c r="A574" s="33"/>
      <c r="B574" s="33"/>
      <c r="H574" s="33"/>
      <c r="I574" s="33"/>
      <c r="P574" s="33"/>
      <c r="Q574" s="33"/>
      <c r="X574" s="33"/>
      <c r="Y574" s="33"/>
    </row>
    <row r="575" spans="1:25" ht="15.75" customHeight="1">
      <c r="A575" s="33"/>
      <c r="B575" s="33"/>
      <c r="H575" s="33"/>
      <c r="I575" s="33"/>
      <c r="P575" s="33"/>
      <c r="Q575" s="33"/>
      <c r="X575" s="33"/>
      <c r="Y575" s="33"/>
    </row>
    <row r="576" spans="1:25" ht="15.75" customHeight="1">
      <c r="A576" s="33"/>
      <c r="B576" s="33"/>
      <c r="H576" s="33"/>
      <c r="I576" s="33"/>
      <c r="P576" s="33"/>
      <c r="Q576" s="33"/>
      <c r="X576" s="33"/>
      <c r="Y576" s="33"/>
    </row>
    <row r="577" spans="1:25" ht="15.75" customHeight="1">
      <c r="A577" s="33"/>
      <c r="B577" s="33"/>
      <c r="H577" s="33"/>
      <c r="I577" s="33"/>
      <c r="P577" s="33"/>
      <c r="Q577" s="33"/>
      <c r="X577" s="33"/>
      <c r="Y577" s="33"/>
    </row>
    <row r="578" spans="1:25" ht="15.75" customHeight="1">
      <c r="A578" s="33"/>
      <c r="B578" s="33"/>
      <c r="H578" s="33"/>
      <c r="I578" s="33"/>
      <c r="P578" s="33"/>
      <c r="Q578" s="33"/>
      <c r="X578" s="33"/>
      <c r="Y578" s="33"/>
    </row>
    <row r="579" spans="1:25" ht="15.75" customHeight="1">
      <c r="A579" s="33"/>
      <c r="B579" s="33"/>
      <c r="H579" s="33"/>
      <c r="I579" s="33"/>
      <c r="P579" s="33"/>
      <c r="Q579" s="33"/>
      <c r="X579" s="33"/>
      <c r="Y579" s="33"/>
    </row>
    <row r="580" spans="1:25" ht="15.75" customHeight="1">
      <c r="A580" s="33"/>
      <c r="B580" s="33"/>
      <c r="H580" s="33"/>
      <c r="I580" s="33"/>
      <c r="P580" s="33"/>
      <c r="Q580" s="33"/>
      <c r="X580" s="33"/>
      <c r="Y580" s="33"/>
    </row>
    <row r="581" spans="1:25" ht="15.75" customHeight="1">
      <c r="A581" s="33"/>
      <c r="B581" s="33"/>
      <c r="H581" s="33"/>
      <c r="I581" s="33"/>
      <c r="P581" s="33"/>
      <c r="Q581" s="33"/>
      <c r="X581" s="33"/>
      <c r="Y581" s="33"/>
    </row>
    <row r="582" spans="1:25" ht="15.75" customHeight="1">
      <c r="A582" s="33"/>
      <c r="B582" s="33"/>
      <c r="H582" s="33"/>
      <c r="I582" s="33"/>
      <c r="P582" s="33"/>
      <c r="Q582" s="33"/>
      <c r="X582" s="33"/>
      <c r="Y582" s="33"/>
    </row>
    <row r="583" spans="1:25" ht="15.75" customHeight="1">
      <c r="A583" s="33"/>
      <c r="B583" s="33"/>
      <c r="H583" s="33"/>
      <c r="I583" s="33"/>
      <c r="P583" s="33"/>
      <c r="Q583" s="33"/>
      <c r="X583" s="33"/>
      <c r="Y583" s="33"/>
    </row>
    <row r="584" spans="1:25" ht="15.75" customHeight="1">
      <c r="A584" s="33"/>
      <c r="B584" s="33"/>
      <c r="H584" s="33"/>
      <c r="I584" s="33"/>
      <c r="P584" s="33"/>
      <c r="Q584" s="33"/>
      <c r="X584" s="33"/>
      <c r="Y584" s="33"/>
    </row>
    <row r="585" spans="1:25" ht="15.75" customHeight="1">
      <c r="A585" s="33"/>
      <c r="B585" s="33"/>
      <c r="H585" s="33"/>
      <c r="I585" s="33"/>
      <c r="P585" s="33"/>
      <c r="Q585" s="33"/>
      <c r="X585" s="33"/>
      <c r="Y585" s="33"/>
    </row>
    <row r="586" spans="1:25" ht="15.75" customHeight="1">
      <c r="A586" s="33"/>
      <c r="B586" s="33"/>
      <c r="H586" s="33"/>
      <c r="I586" s="33"/>
      <c r="P586" s="33"/>
      <c r="Q586" s="33"/>
      <c r="X586" s="33"/>
      <c r="Y586" s="33"/>
    </row>
    <row r="587" spans="1:25" ht="15.75" customHeight="1">
      <c r="A587" s="33"/>
      <c r="B587" s="33"/>
      <c r="H587" s="33"/>
      <c r="I587" s="33"/>
      <c r="P587" s="33"/>
      <c r="Q587" s="33"/>
      <c r="X587" s="33"/>
      <c r="Y587" s="33"/>
    </row>
    <row r="588" spans="1:25" ht="15.75" customHeight="1">
      <c r="A588" s="33"/>
      <c r="B588" s="33"/>
      <c r="H588" s="33"/>
      <c r="I588" s="33"/>
      <c r="P588" s="33"/>
      <c r="Q588" s="33"/>
      <c r="X588" s="33"/>
      <c r="Y588" s="33"/>
    </row>
    <row r="589" spans="1:25" ht="15.75" customHeight="1">
      <c r="A589" s="33"/>
      <c r="B589" s="33"/>
      <c r="H589" s="33"/>
      <c r="I589" s="33"/>
      <c r="P589" s="33"/>
      <c r="Q589" s="33"/>
      <c r="X589" s="33"/>
      <c r="Y589" s="33"/>
    </row>
    <row r="590" spans="1:25" ht="15.75" customHeight="1">
      <c r="A590" s="33"/>
      <c r="B590" s="33"/>
      <c r="H590" s="33"/>
      <c r="I590" s="33"/>
      <c r="P590" s="33"/>
      <c r="Q590" s="33"/>
      <c r="X590" s="33"/>
      <c r="Y590" s="33"/>
    </row>
    <row r="591" spans="1:25" ht="15.75" customHeight="1">
      <c r="A591" s="33"/>
      <c r="B591" s="33"/>
      <c r="H591" s="33"/>
      <c r="I591" s="33"/>
      <c r="P591" s="33"/>
      <c r="Q591" s="33"/>
      <c r="X591" s="33"/>
      <c r="Y591" s="33"/>
    </row>
    <row r="592" spans="1:25" ht="15.75" customHeight="1">
      <c r="A592" s="33"/>
      <c r="B592" s="33"/>
      <c r="H592" s="33"/>
      <c r="I592" s="33"/>
      <c r="P592" s="33"/>
      <c r="Q592" s="33"/>
      <c r="X592" s="33"/>
      <c r="Y592" s="33"/>
    </row>
    <row r="593" spans="1:25" ht="15.75" customHeight="1">
      <c r="A593" s="33"/>
      <c r="B593" s="33"/>
      <c r="H593" s="33"/>
      <c r="I593" s="33"/>
      <c r="P593" s="33"/>
      <c r="Q593" s="33"/>
      <c r="X593" s="33"/>
      <c r="Y593" s="33"/>
    </row>
    <row r="594" spans="1:25" ht="15.75" customHeight="1">
      <c r="A594" s="33"/>
      <c r="B594" s="33"/>
      <c r="H594" s="33"/>
      <c r="I594" s="33"/>
      <c r="P594" s="33"/>
      <c r="Q594" s="33"/>
      <c r="X594" s="33"/>
      <c r="Y594" s="33"/>
    </row>
    <row r="595" spans="1:25" ht="15.75" customHeight="1">
      <c r="A595" s="33"/>
      <c r="B595" s="33"/>
      <c r="H595" s="33"/>
      <c r="I595" s="33"/>
      <c r="P595" s="33"/>
      <c r="Q595" s="33"/>
      <c r="X595" s="33"/>
      <c r="Y595" s="33"/>
    </row>
    <row r="596" spans="1:25" ht="15.75" customHeight="1">
      <c r="A596" s="33"/>
      <c r="B596" s="33"/>
      <c r="H596" s="33"/>
      <c r="I596" s="33"/>
      <c r="P596" s="33"/>
      <c r="Q596" s="33"/>
      <c r="X596" s="33"/>
      <c r="Y596" s="33"/>
    </row>
    <row r="597" spans="1:25" ht="15.75" customHeight="1">
      <c r="A597" s="33"/>
      <c r="B597" s="33"/>
      <c r="H597" s="33"/>
      <c r="I597" s="33"/>
      <c r="P597" s="33"/>
      <c r="Q597" s="33"/>
      <c r="X597" s="33"/>
      <c r="Y597" s="33"/>
    </row>
    <row r="598" spans="1:25" ht="15.75" customHeight="1">
      <c r="A598" s="33"/>
      <c r="B598" s="33"/>
      <c r="H598" s="33"/>
      <c r="I598" s="33"/>
      <c r="P598" s="33"/>
      <c r="Q598" s="33"/>
      <c r="X598" s="33"/>
      <c r="Y598" s="33"/>
    </row>
    <row r="599" spans="1:25" ht="15.75" customHeight="1">
      <c r="A599" s="33"/>
      <c r="B599" s="33"/>
      <c r="H599" s="33"/>
      <c r="I599" s="33"/>
      <c r="P599" s="33"/>
      <c r="Q599" s="33"/>
      <c r="X599" s="33"/>
      <c r="Y599" s="33"/>
    </row>
    <row r="600" spans="1:25" ht="15.75" customHeight="1">
      <c r="A600" s="33"/>
      <c r="B600" s="33"/>
      <c r="H600" s="33"/>
      <c r="I600" s="33"/>
      <c r="P600" s="33"/>
      <c r="Q600" s="33"/>
      <c r="X600" s="33"/>
      <c r="Y600" s="33"/>
    </row>
    <row r="601" spans="1:25" ht="15.75" customHeight="1">
      <c r="A601" s="33"/>
      <c r="B601" s="33"/>
      <c r="H601" s="33"/>
      <c r="I601" s="33"/>
      <c r="P601" s="33"/>
      <c r="Q601" s="33"/>
      <c r="X601" s="33"/>
      <c r="Y601" s="33"/>
    </row>
    <row r="602" spans="1:25" ht="15.75" customHeight="1">
      <c r="A602" s="33"/>
      <c r="B602" s="33"/>
      <c r="H602" s="33"/>
      <c r="I602" s="33"/>
      <c r="P602" s="33"/>
      <c r="Q602" s="33"/>
      <c r="X602" s="33"/>
      <c r="Y602" s="33"/>
    </row>
    <row r="603" spans="1:25" ht="15.75" customHeight="1">
      <c r="A603" s="33"/>
      <c r="B603" s="33"/>
      <c r="H603" s="33"/>
      <c r="I603" s="33"/>
      <c r="P603" s="33"/>
      <c r="Q603" s="33"/>
      <c r="X603" s="33"/>
      <c r="Y603" s="33"/>
    </row>
    <row r="604" spans="1:25" ht="15.75" customHeight="1">
      <c r="A604" s="33"/>
      <c r="B604" s="33"/>
      <c r="H604" s="33"/>
      <c r="I604" s="33"/>
      <c r="P604" s="33"/>
      <c r="Q604" s="33"/>
      <c r="X604" s="33"/>
      <c r="Y604" s="33"/>
    </row>
    <row r="605" spans="1:25" ht="15.75" customHeight="1">
      <c r="A605" s="33"/>
      <c r="B605" s="33"/>
      <c r="H605" s="33"/>
      <c r="I605" s="33"/>
      <c r="P605" s="33"/>
      <c r="Q605" s="33"/>
      <c r="X605" s="33"/>
      <c r="Y605" s="33"/>
    </row>
    <row r="606" spans="1:25" ht="15.75" customHeight="1">
      <c r="A606" s="33"/>
      <c r="B606" s="33"/>
      <c r="H606" s="33"/>
      <c r="I606" s="33"/>
      <c r="P606" s="33"/>
      <c r="Q606" s="33"/>
      <c r="X606" s="33"/>
      <c r="Y606" s="33"/>
    </row>
    <row r="607" spans="1:25" ht="15.75" customHeight="1">
      <c r="A607" s="33"/>
      <c r="B607" s="33"/>
      <c r="H607" s="33"/>
      <c r="I607" s="33"/>
      <c r="P607" s="33"/>
      <c r="Q607" s="33"/>
      <c r="X607" s="33"/>
      <c r="Y607" s="33"/>
    </row>
    <row r="608" spans="1:25" ht="15.75" customHeight="1">
      <c r="A608" s="33"/>
      <c r="B608" s="33"/>
      <c r="H608" s="33"/>
      <c r="I608" s="33"/>
      <c r="P608" s="33"/>
      <c r="Q608" s="33"/>
      <c r="X608" s="33"/>
      <c r="Y608" s="33"/>
    </row>
    <row r="609" spans="1:25" ht="15.75" customHeight="1">
      <c r="A609" s="33"/>
      <c r="B609" s="33"/>
      <c r="H609" s="33"/>
      <c r="I609" s="33"/>
      <c r="P609" s="33"/>
      <c r="Q609" s="33"/>
      <c r="X609" s="33"/>
      <c r="Y609" s="33"/>
    </row>
    <row r="610" spans="1:25" ht="15.75" customHeight="1">
      <c r="A610" s="33"/>
      <c r="B610" s="33"/>
      <c r="H610" s="33"/>
      <c r="I610" s="33"/>
      <c r="P610" s="33"/>
      <c r="Q610" s="33"/>
      <c r="X610" s="33"/>
      <c r="Y610" s="33"/>
    </row>
    <row r="611" spans="1:25" ht="15.75" customHeight="1">
      <c r="A611" s="33"/>
      <c r="B611" s="33"/>
      <c r="H611" s="33"/>
      <c r="I611" s="33"/>
      <c r="P611" s="33"/>
      <c r="Q611" s="33"/>
      <c r="X611" s="33"/>
      <c r="Y611" s="33"/>
    </row>
    <row r="612" spans="1:25" ht="15.75" customHeight="1">
      <c r="A612" s="33"/>
      <c r="B612" s="33"/>
      <c r="H612" s="33"/>
      <c r="I612" s="33"/>
      <c r="P612" s="33"/>
      <c r="Q612" s="33"/>
      <c r="X612" s="33"/>
      <c r="Y612" s="33"/>
    </row>
    <row r="613" spans="1:25" ht="15.75" customHeight="1">
      <c r="A613" s="33"/>
      <c r="B613" s="33"/>
      <c r="H613" s="33"/>
      <c r="I613" s="33"/>
      <c r="P613" s="33"/>
      <c r="Q613" s="33"/>
      <c r="X613" s="33"/>
      <c r="Y613" s="33"/>
    </row>
    <row r="614" spans="1:25" ht="15.75" customHeight="1">
      <c r="A614" s="33"/>
      <c r="B614" s="33"/>
      <c r="H614" s="33"/>
      <c r="I614" s="33"/>
      <c r="P614" s="33"/>
      <c r="Q614" s="33"/>
      <c r="X614" s="33"/>
      <c r="Y614" s="33"/>
    </row>
    <row r="615" spans="1:25" ht="15.75" customHeight="1">
      <c r="A615" s="33"/>
      <c r="B615" s="33"/>
      <c r="H615" s="33"/>
      <c r="I615" s="33"/>
      <c r="P615" s="33"/>
      <c r="Q615" s="33"/>
      <c r="X615" s="33"/>
      <c r="Y615" s="33"/>
    </row>
    <row r="616" spans="1:25" ht="15.75" customHeight="1">
      <c r="A616" s="33"/>
      <c r="B616" s="33"/>
      <c r="H616" s="33"/>
      <c r="I616" s="33"/>
      <c r="P616" s="33"/>
      <c r="Q616" s="33"/>
      <c r="X616" s="33"/>
      <c r="Y616" s="33"/>
    </row>
    <row r="617" spans="1:25" ht="15.75" customHeight="1">
      <c r="A617" s="33"/>
      <c r="B617" s="33"/>
      <c r="H617" s="33"/>
      <c r="I617" s="33"/>
      <c r="P617" s="33"/>
      <c r="Q617" s="33"/>
      <c r="X617" s="33"/>
      <c r="Y617" s="33"/>
    </row>
    <row r="618" spans="1:25" ht="15.75" customHeight="1">
      <c r="A618" s="33"/>
      <c r="B618" s="33"/>
      <c r="H618" s="33"/>
      <c r="I618" s="33"/>
      <c r="P618" s="33"/>
      <c r="Q618" s="33"/>
      <c r="X618" s="33"/>
      <c r="Y618" s="33"/>
    </row>
    <row r="619" spans="1:25" ht="15.75" customHeight="1">
      <c r="A619" s="33"/>
      <c r="B619" s="33"/>
      <c r="H619" s="33"/>
      <c r="I619" s="33"/>
      <c r="P619" s="33"/>
      <c r="Q619" s="33"/>
      <c r="X619" s="33"/>
      <c r="Y619" s="33"/>
    </row>
    <row r="620" spans="1:25" ht="15.75" customHeight="1">
      <c r="A620" s="33"/>
      <c r="B620" s="33"/>
      <c r="H620" s="33"/>
      <c r="I620" s="33"/>
      <c r="P620" s="33"/>
      <c r="Q620" s="33"/>
      <c r="X620" s="33"/>
      <c r="Y620" s="33"/>
    </row>
    <row r="621" spans="1:25" ht="15.75" customHeight="1">
      <c r="A621" s="33"/>
      <c r="B621" s="33"/>
      <c r="H621" s="33"/>
      <c r="I621" s="33"/>
      <c r="P621" s="33"/>
      <c r="Q621" s="33"/>
      <c r="X621" s="33"/>
      <c r="Y621" s="33"/>
    </row>
    <row r="622" spans="1:25" ht="15.75" customHeight="1">
      <c r="A622" s="33"/>
      <c r="B622" s="33"/>
      <c r="H622" s="33"/>
      <c r="I622" s="33"/>
      <c r="P622" s="33"/>
      <c r="Q622" s="33"/>
      <c r="X622" s="33"/>
      <c r="Y622" s="33"/>
    </row>
    <row r="623" spans="1:25" ht="15.75" customHeight="1">
      <c r="A623" s="33"/>
      <c r="B623" s="33"/>
      <c r="H623" s="33"/>
      <c r="I623" s="33"/>
      <c r="P623" s="33"/>
      <c r="Q623" s="33"/>
      <c r="X623" s="33"/>
      <c r="Y623" s="33"/>
    </row>
    <row r="624" spans="1:25" ht="15.75" customHeight="1">
      <c r="A624" s="33"/>
      <c r="B624" s="33"/>
      <c r="H624" s="33"/>
      <c r="I624" s="33"/>
      <c r="P624" s="33"/>
      <c r="Q624" s="33"/>
      <c r="X624" s="33"/>
      <c r="Y624" s="33"/>
    </row>
    <row r="625" spans="1:25" ht="15.75" customHeight="1">
      <c r="A625" s="33"/>
      <c r="B625" s="33"/>
      <c r="H625" s="33"/>
      <c r="I625" s="33"/>
      <c r="P625" s="33"/>
      <c r="Q625" s="33"/>
      <c r="X625" s="33"/>
      <c r="Y625" s="33"/>
    </row>
    <row r="626" spans="1:25" ht="15.75" customHeight="1">
      <c r="A626" s="33"/>
      <c r="B626" s="33"/>
      <c r="H626" s="33"/>
      <c r="I626" s="33"/>
      <c r="P626" s="33"/>
      <c r="Q626" s="33"/>
      <c r="X626" s="33"/>
      <c r="Y626" s="33"/>
    </row>
    <row r="627" spans="1:25" ht="15.75" customHeight="1">
      <c r="A627" s="33"/>
      <c r="B627" s="33"/>
      <c r="H627" s="33"/>
      <c r="I627" s="33"/>
      <c r="P627" s="33"/>
      <c r="Q627" s="33"/>
      <c r="X627" s="33"/>
      <c r="Y627" s="33"/>
    </row>
    <row r="628" spans="1:25" ht="15.75" customHeight="1">
      <c r="A628" s="33"/>
      <c r="B628" s="33"/>
      <c r="H628" s="33"/>
      <c r="I628" s="33"/>
      <c r="P628" s="33"/>
      <c r="Q628" s="33"/>
      <c r="X628" s="33"/>
      <c r="Y628" s="33"/>
    </row>
    <row r="629" spans="1:25" ht="15.75" customHeight="1">
      <c r="A629" s="33"/>
      <c r="B629" s="33"/>
      <c r="H629" s="33"/>
      <c r="I629" s="33"/>
      <c r="P629" s="33"/>
      <c r="Q629" s="33"/>
      <c r="X629" s="33"/>
      <c r="Y629" s="33"/>
    </row>
    <row r="630" spans="1:25" ht="15.75" customHeight="1">
      <c r="A630" s="33"/>
      <c r="B630" s="33"/>
      <c r="H630" s="33"/>
      <c r="I630" s="33"/>
      <c r="P630" s="33"/>
      <c r="Q630" s="33"/>
      <c r="X630" s="33"/>
      <c r="Y630" s="33"/>
    </row>
    <row r="631" spans="1:25" ht="15.75" customHeight="1">
      <c r="A631" s="33"/>
      <c r="B631" s="33"/>
      <c r="H631" s="33"/>
      <c r="I631" s="33"/>
      <c r="P631" s="33"/>
      <c r="Q631" s="33"/>
      <c r="X631" s="33"/>
      <c r="Y631" s="33"/>
    </row>
    <row r="632" spans="1:25" ht="15.75" customHeight="1">
      <c r="A632" s="33"/>
      <c r="B632" s="33"/>
      <c r="H632" s="33"/>
      <c r="I632" s="33"/>
      <c r="P632" s="33"/>
      <c r="Q632" s="33"/>
      <c r="X632" s="33"/>
      <c r="Y632" s="33"/>
    </row>
    <row r="633" spans="1:25" ht="15.75" customHeight="1">
      <c r="A633" s="33"/>
      <c r="B633" s="33"/>
      <c r="H633" s="33"/>
      <c r="I633" s="33"/>
      <c r="P633" s="33"/>
      <c r="Q633" s="33"/>
      <c r="X633" s="33"/>
      <c r="Y633" s="33"/>
    </row>
    <row r="634" spans="1:25" ht="15.75" customHeight="1">
      <c r="A634" s="33"/>
      <c r="B634" s="33"/>
      <c r="H634" s="33"/>
      <c r="I634" s="33"/>
      <c r="P634" s="33"/>
      <c r="Q634" s="33"/>
      <c r="X634" s="33"/>
      <c r="Y634" s="33"/>
    </row>
    <row r="635" spans="1:25" ht="15.75" customHeight="1">
      <c r="A635" s="33"/>
      <c r="B635" s="33"/>
      <c r="H635" s="33"/>
      <c r="I635" s="33"/>
      <c r="P635" s="33"/>
      <c r="Q635" s="33"/>
      <c r="X635" s="33"/>
      <c r="Y635" s="33"/>
    </row>
    <row r="636" spans="1:25" ht="15.75" customHeight="1">
      <c r="A636" s="33"/>
      <c r="B636" s="33"/>
      <c r="H636" s="33"/>
      <c r="I636" s="33"/>
      <c r="P636" s="33"/>
      <c r="Q636" s="33"/>
      <c r="X636" s="33"/>
      <c r="Y636" s="33"/>
    </row>
    <row r="637" spans="1:25" ht="15.75" customHeight="1">
      <c r="A637" s="33"/>
      <c r="B637" s="33"/>
      <c r="H637" s="33"/>
      <c r="I637" s="33"/>
      <c r="P637" s="33"/>
      <c r="Q637" s="33"/>
      <c r="X637" s="33"/>
      <c r="Y637" s="33"/>
    </row>
    <row r="638" spans="1:25" ht="15.75" customHeight="1">
      <c r="A638" s="33"/>
      <c r="B638" s="33"/>
      <c r="H638" s="33"/>
      <c r="I638" s="33"/>
      <c r="P638" s="33"/>
      <c r="Q638" s="33"/>
      <c r="X638" s="33"/>
      <c r="Y638" s="33"/>
    </row>
    <row r="639" spans="1:25" ht="15.75" customHeight="1">
      <c r="A639" s="33"/>
      <c r="B639" s="33"/>
      <c r="H639" s="33"/>
      <c r="I639" s="33"/>
      <c r="P639" s="33"/>
      <c r="Q639" s="33"/>
      <c r="X639" s="33"/>
      <c r="Y639" s="33"/>
    </row>
    <row r="640" spans="1:25" ht="15.75" customHeight="1">
      <c r="A640" s="33"/>
      <c r="B640" s="33"/>
      <c r="H640" s="33"/>
      <c r="I640" s="33"/>
      <c r="P640" s="33"/>
      <c r="Q640" s="33"/>
      <c r="X640" s="33"/>
      <c r="Y640" s="33"/>
    </row>
    <row r="641" spans="1:25" ht="15.75" customHeight="1">
      <c r="A641" s="33"/>
      <c r="B641" s="33"/>
      <c r="H641" s="33"/>
      <c r="I641" s="33"/>
      <c r="P641" s="33"/>
      <c r="Q641" s="33"/>
      <c r="X641" s="33"/>
      <c r="Y641" s="33"/>
    </row>
    <row r="642" spans="1:25" ht="15.75" customHeight="1">
      <c r="A642" s="33"/>
      <c r="B642" s="33"/>
      <c r="H642" s="33"/>
      <c r="I642" s="33"/>
      <c r="P642" s="33"/>
      <c r="Q642" s="33"/>
      <c r="X642" s="33"/>
      <c r="Y642" s="33"/>
    </row>
    <row r="643" spans="1:25" ht="15.75" customHeight="1">
      <c r="A643" s="33"/>
      <c r="B643" s="33"/>
      <c r="H643" s="33"/>
      <c r="I643" s="33"/>
      <c r="P643" s="33"/>
      <c r="Q643" s="33"/>
      <c r="X643" s="33"/>
      <c r="Y643" s="33"/>
    </row>
    <row r="644" spans="1:25" ht="15.75" customHeight="1">
      <c r="A644" s="33"/>
      <c r="B644" s="33"/>
      <c r="H644" s="33"/>
      <c r="I644" s="33"/>
      <c r="P644" s="33"/>
      <c r="Q644" s="33"/>
      <c r="X644" s="33"/>
      <c r="Y644" s="33"/>
    </row>
    <row r="645" spans="1:25" ht="15.75" customHeight="1">
      <c r="A645" s="33"/>
      <c r="B645" s="33"/>
      <c r="H645" s="33"/>
      <c r="I645" s="33"/>
      <c r="P645" s="33"/>
      <c r="Q645" s="33"/>
      <c r="X645" s="33"/>
      <c r="Y645" s="33"/>
    </row>
    <row r="646" spans="1:25" ht="15.75" customHeight="1">
      <c r="A646" s="33"/>
      <c r="B646" s="33"/>
      <c r="H646" s="33"/>
      <c r="I646" s="33"/>
      <c r="P646" s="33"/>
      <c r="Q646" s="33"/>
      <c r="X646" s="33"/>
      <c r="Y646" s="33"/>
    </row>
    <row r="647" spans="1:25" ht="15.75" customHeight="1">
      <c r="A647" s="33"/>
      <c r="B647" s="33"/>
      <c r="H647" s="33"/>
      <c r="I647" s="33"/>
      <c r="P647" s="33"/>
      <c r="Q647" s="33"/>
      <c r="X647" s="33"/>
      <c r="Y647" s="33"/>
    </row>
    <row r="648" spans="1:25" ht="15.75" customHeight="1">
      <c r="A648" s="33"/>
      <c r="B648" s="33"/>
      <c r="H648" s="33"/>
      <c r="I648" s="33"/>
      <c r="P648" s="33"/>
      <c r="Q648" s="33"/>
      <c r="X648" s="33"/>
      <c r="Y648" s="33"/>
    </row>
    <row r="649" spans="1:25" ht="15.75" customHeight="1">
      <c r="A649" s="33"/>
      <c r="B649" s="33"/>
      <c r="H649" s="33"/>
      <c r="I649" s="33"/>
      <c r="P649" s="33"/>
      <c r="Q649" s="33"/>
      <c r="X649" s="33"/>
      <c r="Y649" s="33"/>
    </row>
    <row r="650" spans="1:25" ht="15.75" customHeight="1">
      <c r="A650" s="33"/>
      <c r="B650" s="33"/>
      <c r="H650" s="33"/>
      <c r="I650" s="33"/>
      <c r="P650" s="33"/>
      <c r="Q650" s="33"/>
      <c r="X650" s="33"/>
      <c r="Y650" s="33"/>
    </row>
    <row r="651" spans="1:25" ht="15.75" customHeight="1">
      <c r="A651" s="33"/>
      <c r="B651" s="33"/>
      <c r="H651" s="33"/>
      <c r="I651" s="33"/>
      <c r="P651" s="33"/>
      <c r="Q651" s="33"/>
      <c r="X651" s="33"/>
      <c r="Y651" s="33"/>
    </row>
    <row r="652" spans="1:25" ht="15.75" customHeight="1">
      <c r="A652" s="33"/>
      <c r="B652" s="33"/>
      <c r="H652" s="33"/>
      <c r="I652" s="33"/>
      <c r="P652" s="33"/>
      <c r="Q652" s="33"/>
      <c r="X652" s="33"/>
      <c r="Y652" s="33"/>
    </row>
    <row r="653" spans="1:25" ht="15.75" customHeight="1">
      <c r="A653" s="33"/>
      <c r="B653" s="33"/>
      <c r="H653" s="33"/>
      <c r="I653" s="33"/>
      <c r="P653" s="33"/>
      <c r="Q653" s="33"/>
      <c r="X653" s="33"/>
      <c r="Y653" s="33"/>
    </row>
    <row r="654" spans="1:25" ht="15.75" customHeight="1">
      <c r="A654" s="33"/>
      <c r="B654" s="33"/>
      <c r="H654" s="33"/>
      <c r="I654" s="33"/>
      <c r="P654" s="33"/>
      <c r="Q654" s="33"/>
      <c r="X654" s="33"/>
      <c r="Y654" s="33"/>
    </row>
    <row r="655" spans="1:25" ht="15.75" customHeight="1">
      <c r="A655" s="33"/>
      <c r="B655" s="33"/>
      <c r="H655" s="33"/>
      <c r="I655" s="33"/>
      <c r="P655" s="33"/>
      <c r="Q655" s="33"/>
      <c r="X655" s="33"/>
      <c r="Y655" s="33"/>
    </row>
    <row r="656" spans="1:25" ht="15.75" customHeight="1">
      <c r="A656" s="33"/>
      <c r="B656" s="33"/>
      <c r="H656" s="33"/>
      <c r="I656" s="33"/>
      <c r="P656" s="33"/>
      <c r="Q656" s="33"/>
      <c r="X656" s="33"/>
      <c r="Y656" s="33"/>
    </row>
    <row r="657" spans="1:25" ht="15.75" customHeight="1">
      <c r="A657" s="33"/>
      <c r="B657" s="33"/>
      <c r="H657" s="33"/>
      <c r="I657" s="33"/>
      <c r="P657" s="33"/>
      <c r="Q657" s="33"/>
      <c r="X657" s="33"/>
      <c r="Y657" s="33"/>
    </row>
    <row r="658" spans="1:25" ht="15.75" customHeight="1">
      <c r="A658" s="33"/>
      <c r="B658" s="33"/>
      <c r="H658" s="33"/>
      <c r="I658" s="33"/>
      <c r="P658" s="33"/>
      <c r="Q658" s="33"/>
      <c r="X658" s="33"/>
      <c r="Y658" s="33"/>
    </row>
    <row r="659" spans="1:25" ht="15.75" customHeight="1">
      <c r="A659" s="33"/>
      <c r="B659" s="33"/>
      <c r="H659" s="33"/>
      <c r="I659" s="33"/>
      <c r="P659" s="33"/>
      <c r="Q659" s="33"/>
      <c r="X659" s="33"/>
      <c r="Y659" s="33"/>
    </row>
    <row r="660" spans="1:25" ht="15.75" customHeight="1">
      <c r="A660" s="33"/>
      <c r="B660" s="33"/>
      <c r="H660" s="33"/>
      <c r="I660" s="33"/>
      <c r="P660" s="33"/>
      <c r="Q660" s="33"/>
      <c r="X660" s="33"/>
      <c r="Y660" s="33"/>
    </row>
    <row r="661" spans="1:25" ht="15.75" customHeight="1">
      <c r="A661" s="33"/>
      <c r="B661" s="33"/>
      <c r="H661" s="33"/>
      <c r="I661" s="33"/>
      <c r="P661" s="33"/>
      <c r="Q661" s="33"/>
      <c r="X661" s="33"/>
      <c r="Y661" s="33"/>
    </row>
    <row r="662" spans="1:25" ht="15.75" customHeight="1">
      <c r="A662" s="33"/>
      <c r="B662" s="33"/>
      <c r="H662" s="33"/>
      <c r="I662" s="33"/>
      <c r="P662" s="33"/>
      <c r="Q662" s="33"/>
      <c r="X662" s="33"/>
      <c r="Y662" s="33"/>
    </row>
    <row r="663" spans="1:25" ht="15.75" customHeight="1">
      <c r="A663" s="33"/>
      <c r="B663" s="33"/>
      <c r="H663" s="33"/>
      <c r="I663" s="33"/>
      <c r="P663" s="33"/>
      <c r="Q663" s="33"/>
      <c r="X663" s="33"/>
      <c r="Y663" s="33"/>
    </row>
    <row r="664" spans="1:25" ht="15.75" customHeight="1">
      <c r="A664" s="33"/>
      <c r="B664" s="33"/>
      <c r="H664" s="33"/>
      <c r="I664" s="33"/>
      <c r="P664" s="33"/>
      <c r="Q664" s="33"/>
      <c r="X664" s="33"/>
      <c r="Y664" s="33"/>
    </row>
    <row r="665" spans="1:25" ht="15.75" customHeight="1">
      <c r="A665" s="33"/>
      <c r="B665" s="33"/>
      <c r="H665" s="33"/>
      <c r="I665" s="33"/>
      <c r="P665" s="33"/>
      <c r="Q665" s="33"/>
      <c r="X665" s="33"/>
      <c r="Y665" s="33"/>
    </row>
    <row r="666" spans="1:25" ht="15.75" customHeight="1">
      <c r="A666" s="33"/>
      <c r="B666" s="33"/>
      <c r="H666" s="33"/>
      <c r="I666" s="33"/>
      <c r="P666" s="33"/>
      <c r="Q666" s="33"/>
      <c r="X666" s="33"/>
      <c r="Y666" s="33"/>
    </row>
    <row r="667" spans="1:25" ht="15.75" customHeight="1">
      <c r="A667" s="33"/>
      <c r="B667" s="33"/>
      <c r="H667" s="33"/>
      <c r="I667" s="33"/>
      <c r="P667" s="33"/>
      <c r="Q667" s="33"/>
      <c r="X667" s="33"/>
      <c r="Y667" s="33"/>
    </row>
    <row r="668" spans="1:25" ht="15.75" customHeight="1">
      <c r="A668" s="33"/>
      <c r="B668" s="33"/>
      <c r="H668" s="33"/>
      <c r="I668" s="33"/>
      <c r="P668" s="33"/>
      <c r="Q668" s="33"/>
      <c r="X668" s="33"/>
      <c r="Y668" s="33"/>
    </row>
    <row r="669" spans="1:25" ht="15.75" customHeight="1">
      <c r="A669" s="33"/>
      <c r="B669" s="33"/>
      <c r="H669" s="33"/>
      <c r="I669" s="33"/>
      <c r="P669" s="33"/>
      <c r="Q669" s="33"/>
      <c r="X669" s="33"/>
      <c r="Y669" s="33"/>
    </row>
    <row r="670" spans="1:25" ht="15.75" customHeight="1">
      <c r="A670" s="33"/>
      <c r="B670" s="33"/>
      <c r="H670" s="33"/>
      <c r="I670" s="33"/>
      <c r="P670" s="33"/>
      <c r="Q670" s="33"/>
      <c r="X670" s="33"/>
      <c r="Y670" s="33"/>
    </row>
    <row r="671" spans="1:25" ht="15.75" customHeight="1">
      <c r="A671" s="33"/>
      <c r="B671" s="33"/>
      <c r="H671" s="33"/>
      <c r="I671" s="33"/>
      <c r="P671" s="33"/>
      <c r="Q671" s="33"/>
      <c r="X671" s="33"/>
      <c r="Y671" s="33"/>
    </row>
    <row r="672" spans="1:25" ht="15.75" customHeight="1">
      <c r="A672" s="33"/>
      <c r="B672" s="33"/>
      <c r="H672" s="33"/>
      <c r="I672" s="33"/>
      <c r="P672" s="33"/>
      <c r="Q672" s="33"/>
      <c r="X672" s="33"/>
      <c r="Y672" s="33"/>
    </row>
    <row r="673" spans="1:25" ht="15.75" customHeight="1">
      <c r="A673" s="33"/>
      <c r="B673" s="33"/>
      <c r="H673" s="33"/>
      <c r="I673" s="33"/>
      <c r="P673" s="33"/>
      <c r="Q673" s="33"/>
      <c r="X673" s="33"/>
      <c r="Y673" s="33"/>
    </row>
    <row r="674" spans="1:25" ht="15.75" customHeight="1">
      <c r="A674" s="33"/>
      <c r="B674" s="33"/>
      <c r="H674" s="33"/>
      <c r="I674" s="33"/>
      <c r="P674" s="33"/>
      <c r="Q674" s="33"/>
      <c r="X674" s="33"/>
      <c r="Y674" s="33"/>
    </row>
    <row r="675" spans="1:25" ht="15.75" customHeight="1">
      <c r="A675" s="33"/>
      <c r="B675" s="33"/>
      <c r="H675" s="33"/>
      <c r="I675" s="33"/>
      <c r="P675" s="33"/>
      <c r="Q675" s="33"/>
      <c r="X675" s="33"/>
      <c r="Y675" s="33"/>
    </row>
    <row r="676" spans="1:25" ht="15.75" customHeight="1">
      <c r="A676" s="33"/>
      <c r="B676" s="33"/>
      <c r="H676" s="33"/>
      <c r="I676" s="33"/>
      <c r="P676" s="33"/>
      <c r="Q676" s="33"/>
      <c r="X676" s="33"/>
      <c r="Y676" s="33"/>
    </row>
    <row r="677" spans="1:25" ht="15.75" customHeight="1">
      <c r="A677" s="33"/>
      <c r="B677" s="33"/>
      <c r="H677" s="33"/>
      <c r="I677" s="33"/>
      <c r="P677" s="33"/>
      <c r="Q677" s="33"/>
      <c r="X677" s="33"/>
      <c r="Y677" s="33"/>
    </row>
    <row r="678" spans="1:25" ht="15.75" customHeight="1">
      <c r="A678" s="33"/>
      <c r="B678" s="33"/>
      <c r="H678" s="33"/>
      <c r="I678" s="33"/>
      <c r="P678" s="33"/>
      <c r="Q678" s="33"/>
      <c r="X678" s="33"/>
      <c r="Y678" s="33"/>
    </row>
    <row r="679" spans="1:25" ht="15.75" customHeight="1">
      <c r="A679" s="33"/>
      <c r="B679" s="33"/>
      <c r="H679" s="33"/>
      <c r="I679" s="33"/>
      <c r="P679" s="33"/>
      <c r="Q679" s="33"/>
      <c r="X679" s="33"/>
      <c r="Y679" s="33"/>
    </row>
    <row r="680" spans="1:25" ht="15.75" customHeight="1">
      <c r="A680" s="33"/>
      <c r="B680" s="33"/>
      <c r="H680" s="33"/>
      <c r="I680" s="33"/>
      <c r="P680" s="33"/>
      <c r="Q680" s="33"/>
      <c r="X680" s="33"/>
      <c r="Y680" s="33"/>
    </row>
    <row r="681" spans="1:25" ht="15.75" customHeight="1">
      <c r="A681" s="33"/>
      <c r="B681" s="33"/>
      <c r="H681" s="33"/>
      <c r="I681" s="33"/>
      <c r="P681" s="33"/>
      <c r="Q681" s="33"/>
      <c r="X681" s="33"/>
      <c r="Y681" s="33"/>
    </row>
    <row r="682" spans="1:25" ht="15.75" customHeight="1">
      <c r="A682" s="33"/>
      <c r="B682" s="33"/>
      <c r="H682" s="33"/>
      <c r="I682" s="33"/>
      <c r="P682" s="33"/>
      <c r="Q682" s="33"/>
      <c r="X682" s="33"/>
      <c r="Y682" s="33"/>
    </row>
    <row r="683" spans="1:25" ht="15.75" customHeight="1">
      <c r="A683" s="33"/>
      <c r="B683" s="33"/>
      <c r="H683" s="33"/>
      <c r="I683" s="33"/>
      <c r="P683" s="33"/>
      <c r="Q683" s="33"/>
      <c r="X683" s="33"/>
      <c r="Y683" s="33"/>
    </row>
    <row r="684" spans="1:25" ht="15.75" customHeight="1">
      <c r="A684" s="33"/>
      <c r="B684" s="33"/>
      <c r="H684" s="33"/>
      <c r="I684" s="33"/>
      <c r="P684" s="33"/>
      <c r="Q684" s="33"/>
      <c r="X684" s="33"/>
      <c r="Y684" s="33"/>
    </row>
    <row r="685" spans="1:25" ht="15.75" customHeight="1">
      <c r="A685" s="33"/>
      <c r="B685" s="33"/>
      <c r="H685" s="33"/>
      <c r="I685" s="33"/>
      <c r="P685" s="33"/>
      <c r="Q685" s="33"/>
      <c r="X685" s="33"/>
      <c r="Y685" s="33"/>
    </row>
    <row r="686" spans="1:25" ht="15.75" customHeight="1">
      <c r="A686" s="33"/>
      <c r="B686" s="33"/>
      <c r="H686" s="33"/>
      <c r="I686" s="33"/>
      <c r="P686" s="33"/>
      <c r="Q686" s="33"/>
      <c r="X686" s="33"/>
      <c r="Y686" s="33"/>
    </row>
    <row r="687" spans="1:25" ht="15.75" customHeight="1">
      <c r="A687" s="33"/>
      <c r="B687" s="33"/>
      <c r="H687" s="33"/>
      <c r="I687" s="33"/>
      <c r="P687" s="33"/>
      <c r="Q687" s="33"/>
      <c r="X687" s="33"/>
      <c r="Y687" s="33"/>
    </row>
    <row r="688" spans="1:25" ht="15.75" customHeight="1">
      <c r="A688" s="33"/>
      <c r="B688" s="33"/>
      <c r="H688" s="33"/>
      <c r="I688" s="33"/>
      <c r="P688" s="33"/>
      <c r="Q688" s="33"/>
      <c r="X688" s="33"/>
      <c r="Y688" s="33"/>
    </row>
    <row r="689" spans="1:25" ht="15.75" customHeight="1">
      <c r="A689" s="33"/>
      <c r="B689" s="33"/>
      <c r="H689" s="33"/>
      <c r="I689" s="33"/>
      <c r="P689" s="33"/>
      <c r="Q689" s="33"/>
      <c r="X689" s="33"/>
      <c r="Y689" s="33"/>
    </row>
    <row r="690" spans="1:25" ht="15.75" customHeight="1">
      <c r="A690" s="33"/>
      <c r="B690" s="33"/>
      <c r="H690" s="33"/>
      <c r="I690" s="33"/>
      <c r="P690" s="33"/>
      <c r="Q690" s="33"/>
      <c r="X690" s="33"/>
      <c r="Y690" s="33"/>
    </row>
    <row r="691" spans="1:25" ht="15.75" customHeight="1">
      <c r="A691" s="33"/>
      <c r="B691" s="33"/>
      <c r="H691" s="33"/>
      <c r="I691" s="33"/>
      <c r="P691" s="33"/>
      <c r="Q691" s="33"/>
      <c r="X691" s="33"/>
      <c r="Y691" s="33"/>
    </row>
    <row r="692" spans="1:25" ht="15.75" customHeight="1">
      <c r="A692" s="33"/>
      <c r="B692" s="33"/>
      <c r="H692" s="33"/>
      <c r="I692" s="33"/>
      <c r="P692" s="33"/>
      <c r="Q692" s="33"/>
      <c r="X692" s="33"/>
      <c r="Y692" s="33"/>
    </row>
    <row r="693" spans="1:25" ht="15.75" customHeight="1">
      <c r="A693" s="33"/>
      <c r="B693" s="33"/>
      <c r="H693" s="33"/>
      <c r="I693" s="33"/>
      <c r="P693" s="33"/>
      <c r="Q693" s="33"/>
      <c r="X693" s="33"/>
      <c r="Y693" s="33"/>
    </row>
    <row r="694" spans="1:25" ht="15.75" customHeight="1">
      <c r="A694" s="33"/>
      <c r="B694" s="33"/>
      <c r="H694" s="33"/>
      <c r="I694" s="33"/>
      <c r="P694" s="33"/>
      <c r="Q694" s="33"/>
      <c r="X694" s="33"/>
      <c r="Y694" s="33"/>
    </row>
    <row r="695" spans="1:25" ht="15.75" customHeight="1">
      <c r="A695" s="33"/>
      <c r="B695" s="33"/>
      <c r="H695" s="33"/>
      <c r="I695" s="33"/>
      <c r="P695" s="33"/>
      <c r="Q695" s="33"/>
      <c r="X695" s="33"/>
      <c r="Y695" s="33"/>
    </row>
    <row r="696" spans="1:25" ht="15.75" customHeight="1">
      <c r="A696" s="33"/>
      <c r="B696" s="33"/>
      <c r="H696" s="33"/>
      <c r="I696" s="33"/>
      <c r="P696" s="33"/>
      <c r="Q696" s="33"/>
      <c r="X696" s="33"/>
      <c r="Y696" s="33"/>
    </row>
    <row r="697" spans="1:25" ht="15.75" customHeight="1">
      <c r="A697" s="33"/>
      <c r="B697" s="33"/>
      <c r="H697" s="33"/>
      <c r="I697" s="33"/>
      <c r="P697" s="33"/>
      <c r="Q697" s="33"/>
      <c r="X697" s="33"/>
      <c r="Y697" s="33"/>
    </row>
    <row r="698" spans="1:25" ht="15.75" customHeight="1">
      <c r="A698" s="33"/>
      <c r="B698" s="33"/>
      <c r="H698" s="33"/>
      <c r="I698" s="33"/>
      <c r="P698" s="33"/>
      <c r="Q698" s="33"/>
      <c r="X698" s="33"/>
      <c r="Y698" s="33"/>
    </row>
    <row r="699" spans="1:25" ht="15.75" customHeight="1">
      <c r="A699" s="33"/>
      <c r="B699" s="33"/>
      <c r="H699" s="33"/>
      <c r="I699" s="33"/>
      <c r="P699" s="33"/>
      <c r="Q699" s="33"/>
      <c r="X699" s="33"/>
      <c r="Y699" s="33"/>
    </row>
    <row r="700" spans="1:25" ht="15.75" customHeight="1">
      <c r="A700" s="33"/>
      <c r="B700" s="33"/>
      <c r="H700" s="33"/>
      <c r="I700" s="33"/>
      <c r="P700" s="33"/>
      <c r="Q700" s="33"/>
      <c r="X700" s="33"/>
      <c r="Y700" s="33"/>
    </row>
    <row r="701" spans="1:25" ht="15.75" customHeight="1">
      <c r="A701" s="33"/>
      <c r="B701" s="33"/>
      <c r="H701" s="33"/>
      <c r="I701" s="33"/>
      <c r="P701" s="33"/>
      <c r="Q701" s="33"/>
      <c r="X701" s="33"/>
      <c r="Y701" s="33"/>
    </row>
    <row r="702" spans="1:25" ht="15.75" customHeight="1">
      <c r="A702" s="33"/>
      <c r="B702" s="33"/>
      <c r="H702" s="33"/>
      <c r="I702" s="33"/>
      <c r="P702" s="33"/>
      <c r="Q702" s="33"/>
      <c r="X702" s="33"/>
      <c r="Y702" s="33"/>
    </row>
    <row r="703" spans="1:25" ht="15.75" customHeight="1">
      <c r="A703" s="33"/>
      <c r="B703" s="33"/>
      <c r="H703" s="33"/>
      <c r="I703" s="33"/>
      <c r="P703" s="33"/>
      <c r="Q703" s="33"/>
      <c r="X703" s="33"/>
      <c r="Y703" s="33"/>
    </row>
    <row r="704" spans="1:25" ht="15.75" customHeight="1">
      <c r="A704" s="33"/>
      <c r="B704" s="33"/>
      <c r="H704" s="33"/>
      <c r="I704" s="33"/>
      <c r="P704" s="33"/>
      <c r="Q704" s="33"/>
      <c r="X704" s="33"/>
      <c r="Y704" s="33"/>
    </row>
    <row r="705" spans="1:25" ht="15.75" customHeight="1">
      <c r="A705" s="33"/>
      <c r="B705" s="33"/>
      <c r="H705" s="33"/>
      <c r="I705" s="33"/>
      <c r="P705" s="33"/>
      <c r="Q705" s="33"/>
      <c r="X705" s="33"/>
      <c r="Y705" s="33"/>
    </row>
    <row r="706" spans="1:25" ht="15.75" customHeight="1">
      <c r="A706" s="33"/>
      <c r="B706" s="33"/>
      <c r="H706" s="33"/>
      <c r="I706" s="33"/>
      <c r="P706" s="33"/>
      <c r="Q706" s="33"/>
      <c r="X706" s="33"/>
      <c r="Y706" s="33"/>
    </row>
    <row r="707" spans="1:25" ht="15.75" customHeight="1">
      <c r="A707" s="33"/>
      <c r="B707" s="33"/>
      <c r="H707" s="33"/>
      <c r="I707" s="33"/>
      <c r="P707" s="33"/>
      <c r="Q707" s="33"/>
      <c r="X707" s="33"/>
      <c r="Y707" s="33"/>
    </row>
    <row r="708" spans="1:25" ht="15.75" customHeight="1">
      <c r="A708" s="33"/>
      <c r="B708" s="33"/>
      <c r="H708" s="33"/>
      <c r="I708" s="33"/>
      <c r="P708" s="33"/>
      <c r="Q708" s="33"/>
      <c r="X708" s="33"/>
      <c r="Y708" s="33"/>
    </row>
    <row r="709" spans="1:25" ht="15.75" customHeight="1">
      <c r="A709" s="33"/>
      <c r="B709" s="33"/>
      <c r="H709" s="33"/>
      <c r="I709" s="33"/>
      <c r="P709" s="33"/>
      <c r="Q709" s="33"/>
      <c r="X709" s="33"/>
      <c r="Y709" s="33"/>
    </row>
    <row r="710" spans="1:25" ht="15.75" customHeight="1">
      <c r="A710" s="33"/>
      <c r="B710" s="33"/>
      <c r="H710" s="33"/>
      <c r="I710" s="33"/>
      <c r="P710" s="33"/>
      <c r="Q710" s="33"/>
      <c r="X710" s="33"/>
      <c r="Y710" s="33"/>
    </row>
    <row r="711" spans="1:25" ht="15.75" customHeight="1">
      <c r="A711" s="33"/>
      <c r="B711" s="33"/>
      <c r="H711" s="33"/>
      <c r="I711" s="33"/>
      <c r="P711" s="33"/>
      <c r="Q711" s="33"/>
      <c r="X711" s="33"/>
      <c r="Y711" s="33"/>
    </row>
    <row r="712" spans="1:25" ht="15.75" customHeight="1">
      <c r="A712" s="33"/>
      <c r="B712" s="33"/>
      <c r="H712" s="33"/>
      <c r="I712" s="33"/>
      <c r="P712" s="33"/>
      <c r="Q712" s="33"/>
      <c r="X712" s="33"/>
      <c r="Y712" s="33"/>
    </row>
    <row r="713" spans="1:25" ht="15.75" customHeight="1">
      <c r="A713" s="33"/>
      <c r="B713" s="33"/>
      <c r="H713" s="33"/>
      <c r="I713" s="33"/>
      <c r="P713" s="33"/>
      <c r="Q713" s="33"/>
      <c r="X713" s="33"/>
      <c r="Y713" s="33"/>
    </row>
    <row r="714" spans="1:25" ht="15.75" customHeight="1">
      <c r="A714" s="33"/>
      <c r="B714" s="33"/>
      <c r="H714" s="33"/>
      <c r="I714" s="33"/>
      <c r="P714" s="33"/>
      <c r="Q714" s="33"/>
      <c r="X714" s="33"/>
      <c r="Y714" s="33"/>
    </row>
    <row r="715" spans="1:25" ht="15.75" customHeight="1">
      <c r="A715" s="33"/>
      <c r="B715" s="33"/>
      <c r="H715" s="33"/>
      <c r="I715" s="33"/>
      <c r="P715" s="33"/>
      <c r="Q715" s="33"/>
      <c r="X715" s="33"/>
      <c r="Y715" s="33"/>
    </row>
    <row r="716" spans="1:25" ht="15.75" customHeight="1">
      <c r="A716" s="33"/>
      <c r="B716" s="33"/>
      <c r="H716" s="33"/>
      <c r="I716" s="33"/>
      <c r="P716" s="33"/>
      <c r="Q716" s="33"/>
      <c r="X716" s="33"/>
      <c r="Y716" s="33"/>
    </row>
    <row r="717" spans="1:25" ht="15.75" customHeight="1">
      <c r="A717" s="33"/>
      <c r="B717" s="33"/>
      <c r="H717" s="33"/>
      <c r="I717" s="33"/>
      <c r="P717" s="33"/>
      <c r="Q717" s="33"/>
      <c r="X717" s="33"/>
      <c r="Y717" s="33"/>
    </row>
    <row r="718" spans="1:25" ht="15.75" customHeight="1">
      <c r="A718" s="33"/>
      <c r="B718" s="33"/>
      <c r="H718" s="33"/>
      <c r="I718" s="33"/>
      <c r="P718" s="33"/>
      <c r="Q718" s="33"/>
      <c r="X718" s="33"/>
      <c r="Y718" s="33"/>
    </row>
    <row r="719" spans="1:25" ht="15.75" customHeight="1">
      <c r="A719" s="33"/>
      <c r="B719" s="33"/>
      <c r="H719" s="33"/>
      <c r="I719" s="33"/>
      <c r="P719" s="33"/>
      <c r="Q719" s="33"/>
      <c r="X719" s="33"/>
      <c r="Y719" s="33"/>
    </row>
    <row r="720" spans="1:25" ht="15.75" customHeight="1">
      <c r="A720" s="33"/>
      <c r="B720" s="33"/>
      <c r="H720" s="33"/>
      <c r="I720" s="33"/>
      <c r="P720" s="33"/>
      <c r="Q720" s="33"/>
      <c r="X720" s="33"/>
      <c r="Y720" s="33"/>
    </row>
    <row r="721" spans="1:25" ht="15.75" customHeight="1">
      <c r="A721" s="33"/>
      <c r="B721" s="33"/>
      <c r="H721" s="33"/>
      <c r="I721" s="33"/>
      <c r="P721" s="33"/>
      <c r="Q721" s="33"/>
      <c r="X721" s="33"/>
      <c r="Y721" s="33"/>
    </row>
    <row r="722" spans="1:25" ht="15.75" customHeight="1">
      <c r="A722" s="33"/>
      <c r="B722" s="33"/>
      <c r="H722" s="33"/>
      <c r="I722" s="33"/>
      <c r="P722" s="33"/>
      <c r="Q722" s="33"/>
      <c r="X722" s="33"/>
      <c r="Y722" s="33"/>
    </row>
    <row r="723" spans="1:25" ht="15.75" customHeight="1">
      <c r="A723" s="33"/>
      <c r="B723" s="33"/>
      <c r="H723" s="33"/>
      <c r="I723" s="33"/>
      <c r="P723" s="33"/>
      <c r="Q723" s="33"/>
      <c r="X723" s="33"/>
      <c r="Y723" s="33"/>
    </row>
    <row r="724" spans="1:25" ht="15.75" customHeight="1">
      <c r="A724" s="33"/>
      <c r="B724" s="33"/>
      <c r="H724" s="33"/>
      <c r="I724" s="33"/>
      <c r="P724" s="33"/>
      <c r="Q724" s="33"/>
      <c r="X724" s="33"/>
      <c r="Y724" s="33"/>
    </row>
    <row r="725" spans="1:25" ht="15.75" customHeight="1">
      <c r="A725" s="33"/>
      <c r="B725" s="33"/>
      <c r="H725" s="33"/>
      <c r="I725" s="33"/>
      <c r="P725" s="33"/>
      <c r="Q725" s="33"/>
      <c r="X725" s="33"/>
      <c r="Y725" s="33"/>
    </row>
    <row r="726" spans="1:25" ht="15.75" customHeight="1">
      <c r="A726" s="33"/>
      <c r="B726" s="33"/>
      <c r="H726" s="33"/>
      <c r="I726" s="33"/>
      <c r="P726" s="33"/>
      <c r="Q726" s="33"/>
      <c r="X726" s="33"/>
      <c r="Y726" s="33"/>
    </row>
    <row r="727" spans="1:25" ht="15.75" customHeight="1">
      <c r="A727" s="33"/>
      <c r="B727" s="33"/>
      <c r="H727" s="33"/>
      <c r="I727" s="33"/>
      <c r="P727" s="33"/>
      <c r="Q727" s="33"/>
      <c r="X727" s="33"/>
      <c r="Y727" s="33"/>
    </row>
    <row r="728" spans="1:25" ht="15.75" customHeight="1">
      <c r="A728" s="33"/>
      <c r="B728" s="33"/>
      <c r="H728" s="33"/>
      <c r="I728" s="33"/>
      <c r="P728" s="33"/>
      <c r="Q728" s="33"/>
      <c r="X728" s="33"/>
      <c r="Y728" s="33"/>
    </row>
    <row r="729" spans="1:25" ht="15.75" customHeight="1">
      <c r="A729" s="33"/>
      <c r="B729" s="33"/>
      <c r="H729" s="33"/>
      <c r="I729" s="33"/>
      <c r="P729" s="33"/>
      <c r="Q729" s="33"/>
      <c r="X729" s="33"/>
      <c r="Y729" s="33"/>
    </row>
    <row r="730" spans="1:25" ht="15.75" customHeight="1">
      <c r="A730" s="33"/>
      <c r="B730" s="33"/>
      <c r="H730" s="33"/>
      <c r="I730" s="33"/>
      <c r="P730" s="33"/>
      <c r="Q730" s="33"/>
      <c r="X730" s="33"/>
      <c r="Y730" s="33"/>
    </row>
    <row r="731" spans="1:25" ht="15.75" customHeight="1">
      <c r="A731" s="33"/>
      <c r="B731" s="33"/>
      <c r="H731" s="33"/>
      <c r="I731" s="33"/>
      <c r="P731" s="33"/>
      <c r="Q731" s="33"/>
      <c r="X731" s="33"/>
      <c r="Y731" s="33"/>
    </row>
    <row r="732" spans="1:25" ht="15.75" customHeight="1">
      <c r="A732" s="33"/>
      <c r="B732" s="33"/>
      <c r="H732" s="33"/>
      <c r="I732" s="33"/>
      <c r="P732" s="33"/>
      <c r="Q732" s="33"/>
      <c r="X732" s="33"/>
      <c r="Y732" s="33"/>
    </row>
    <row r="733" spans="1:25" ht="15.75" customHeight="1">
      <c r="A733" s="33"/>
      <c r="B733" s="33"/>
      <c r="H733" s="33"/>
      <c r="I733" s="33"/>
      <c r="P733" s="33"/>
      <c r="Q733" s="33"/>
      <c r="X733" s="33"/>
      <c r="Y733" s="33"/>
    </row>
    <row r="734" spans="1:25" ht="15.75" customHeight="1">
      <c r="A734" s="33"/>
      <c r="B734" s="33"/>
      <c r="H734" s="33"/>
      <c r="I734" s="33"/>
      <c r="P734" s="33"/>
      <c r="Q734" s="33"/>
      <c r="X734" s="33"/>
      <c r="Y734" s="33"/>
    </row>
    <row r="735" spans="1:25" ht="15.75" customHeight="1">
      <c r="A735" s="33"/>
      <c r="B735" s="33"/>
      <c r="H735" s="33"/>
      <c r="I735" s="33"/>
      <c r="P735" s="33"/>
      <c r="Q735" s="33"/>
      <c r="X735" s="33"/>
      <c r="Y735" s="33"/>
    </row>
    <row r="736" spans="1:25" ht="15.75" customHeight="1">
      <c r="A736" s="33"/>
      <c r="B736" s="33"/>
      <c r="H736" s="33"/>
      <c r="I736" s="33"/>
      <c r="P736" s="33"/>
      <c r="Q736" s="33"/>
      <c r="X736" s="33"/>
      <c r="Y736" s="33"/>
    </row>
    <row r="737" spans="1:25" ht="15.75" customHeight="1">
      <c r="A737" s="33"/>
      <c r="B737" s="33"/>
      <c r="H737" s="33"/>
      <c r="I737" s="33"/>
      <c r="P737" s="33"/>
      <c r="Q737" s="33"/>
      <c r="X737" s="33"/>
      <c r="Y737" s="33"/>
    </row>
    <row r="738" spans="1:25" ht="15.75" customHeight="1">
      <c r="A738" s="33"/>
      <c r="B738" s="33"/>
      <c r="H738" s="33"/>
      <c r="I738" s="33"/>
      <c r="P738" s="33"/>
      <c r="Q738" s="33"/>
      <c r="X738" s="33"/>
      <c r="Y738" s="33"/>
    </row>
    <row r="739" spans="1:25" ht="15.75" customHeight="1">
      <c r="A739" s="33"/>
      <c r="B739" s="33"/>
      <c r="H739" s="33"/>
      <c r="I739" s="33"/>
      <c r="P739" s="33"/>
      <c r="Q739" s="33"/>
      <c r="X739" s="33"/>
      <c r="Y739" s="33"/>
    </row>
    <row r="740" spans="1:25" ht="15.75" customHeight="1">
      <c r="A740" s="33"/>
      <c r="B740" s="33"/>
      <c r="H740" s="33"/>
      <c r="I740" s="33"/>
      <c r="P740" s="33"/>
      <c r="Q740" s="33"/>
      <c r="X740" s="33"/>
      <c r="Y740" s="33"/>
    </row>
    <row r="741" spans="1:25" ht="15.75" customHeight="1">
      <c r="A741" s="33"/>
      <c r="B741" s="33"/>
      <c r="H741" s="33"/>
      <c r="I741" s="33"/>
      <c r="P741" s="33"/>
      <c r="Q741" s="33"/>
      <c r="X741" s="33"/>
      <c r="Y741" s="33"/>
    </row>
    <row r="742" spans="1:25" ht="15.75" customHeight="1">
      <c r="A742" s="33"/>
      <c r="B742" s="33"/>
      <c r="H742" s="33"/>
      <c r="I742" s="33"/>
      <c r="P742" s="33"/>
      <c r="Q742" s="33"/>
      <c r="X742" s="33"/>
      <c r="Y742" s="33"/>
    </row>
    <row r="743" spans="1:25" ht="15.75" customHeight="1">
      <c r="A743" s="33"/>
      <c r="B743" s="33"/>
      <c r="H743" s="33"/>
      <c r="I743" s="33"/>
      <c r="P743" s="33"/>
      <c r="Q743" s="33"/>
      <c r="X743" s="33"/>
      <c r="Y743" s="33"/>
    </row>
    <row r="744" spans="1:25" ht="15.75" customHeight="1">
      <c r="A744" s="33"/>
      <c r="B744" s="33"/>
      <c r="H744" s="33"/>
      <c r="I744" s="33"/>
      <c r="P744" s="33"/>
      <c r="Q744" s="33"/>
      <c r="X744" s="33"/>
      <c r="Y744" s="33"/>
    </row>
    <row r="745" spans="1:25" ht="15.75" customHeight="1">
      <c r="A745" s="33"/>
      <c r="B745" s="33"/>
      <c r="H745" s="33"/>
      <c r="I745" s="33"/>
      <c r="P745" s="33"/>
      <c r="Q745" s="33"/>
      <c r="X745" s="33"/>
      <c r="Y745" s="33"/>
    </row>
    <row r="746" spans="1:25" ht="15.75" customHeight="1">
      <c r="A746" s="33"/>
      <c r="B746" s="33"/>
      <c r="H746" s="33"/>
      <c r="I746" s="33"/>
      <c r="P746" s="33"/>
      <c r="Q746" s="33"/>
      <c r="X746" s="33"/>
      <c r="Y746" s="33"/>
    </row>
    <row r="747" spans="1:25" ht="15.75" customHeight="1">
      <c r="A747" s="33"/>
      <c r="B747" s="33"/>
      <c r="H747" s="33"/>
      <c r="I747" s="33"/>
      <c r="P747" s="33"/>
      <c r="Q747" s="33"/>
      <c r="X747" s="33"/>
      <c r="Y747" s="33"/>
    </row>
    <row r="748" spans="1:25" ht="15.75" customHeight="1">
      <c r="A748" s="33"/>
      <c r="B748" s="33"/>
      <c r="H748" s="33"/>
      <c r="I748" s="33"/>
      <c r="P748" s="33"/>
      <c r="Q748" s="33"/>
      <c r="X748" s="33"/>
      <c r="Y748" s="33"/>
    </row>
    <row r="749" spans="1:25" ht="15.75" customHeight="1">
      <c r="A749" s="33"/>
      <c r="B749" s="33"/>
      <c r="H749" s="33"/>
      <c r="I749" s="33"/>
      <c r="P749" s="33"/>
      <c r="Q749" s="33"/>
      <c r="X749" s="33"/>
      <c r="Y749" s="33"/>
    </row>
    <row r="750" spans="1:25" ht="15.75" customHeight="1">
      <c r="A750" s="33"/>
      <c r="B750" s="33"/>
      <c r="H750" s="33"/>
      <c r="I750" s="33"/>
      <c r="P750" s="33"/>
      <c r="Q750" s="33"/>
      <c r="X750" s="33"/>
      <c r="Y750" s="33"/>
    </row>
    <row r="751" spans="1:25" ht="15.75" customHeight="1">
      <c r="A751" s="33"/>
      <c r="B751" s="33"/>
      <c r="H751" s="33"/>
      <c r="I751" s="33"/>
      <c r="P751" s="33"/>
      <c r="Q751" s="33"/>
      <c r="X751" s="33"/>
      <c r="Y751" s="33"/>
    </row>
    <row r="752" spans="1:25" ht="15.75" customHeight="1">
      <c r="A752" s="33"/>
      <c r="B752" s="33"/>
      <c r="H752" s="33"/>
      <c r="I752" s="33"/>
      <c r="P752" s="33"/>
      <c r="Q752" s="33"/>
      <c r="X752" s="33"/>
      <c r="Y752" s="33"/>
    </row>
    <row r="753" spans="1:25" ht="15.75" customHeight="1">
      <c r="A753" s="33"/>
      <c r="B753" s="33"/>
      <c r="H753" s="33"/>
      <c r="I753" s="33"/>
      <c r="P753" s="33"/>
      <c r="Q753" s="33"/>
      <c r="X753" s="33"/>
      <c r="Y753" s="33"/>
    </row>
    <row r="754" spans="1:25" ht="15.75" customHeight="1">
      <c r="A754" s="33"/>
      <c r="B754" s="33"/>
      <c r="H754" s="33"/>
      <c r="I754" s="33"/>
      <c r="P754" s="33"/>
      <c r="Q754" s="33"/>
      <c r="X754" s="33"/>
      <c r="Y754" s="33"/>
    </row>
    <row r="755" spans="1:25" ht="15.75" customHeight="1">
      <c r="A755" s="33"/>
      <c r="B755" s="33"/>
      <c r="H755" s="33"/>
      <c r="I755" s="33"/>
      <c r="P755" s="33"/>
      <c r="Q755" s="33"/>
      <c r="X755" s="33"/>
      <c r="Y755" s="33"/>
    </row>
    <row r="756" spans="1:25" ht="15.75" customHeight="1">
      <c r="A756" s="33"/>
      <c r="B756" s="33"/>
      <c r="H756" s="33"/>
      <c r="I756" s="33"/>
      <c r="P756" s="33"/>
      <c r="Q756" s="33"/>
      <c r="X756" s="33"/>
      <c r="Y756" s="33"/>
    </row>
    <row r="757" spans="1:25" ht="15.75" customHeight="1">
      <c r="A757" s="33"/>
      <c r="B757" s="33"/>
      <c r="H757" s="33"/>
      <c r="I757" s="33"/>
      <c r="P757" s="33"/>
      <c r="Q757" s="33"/>
      <c r="X757" s="33"/>
      <c r="Y757" s="33"/>
    </row>
    <row r="758" spans="1:25" ht="15.75" customHeight="1">
      <c r="A758" s="33"/>
      <c r="B758" s="33"/>
      <c r="H758" s="33"/>
      <c r="I758" s="33"/>
      <c r="P758" s="33"/>
      <c r="Q758" s="33"/>
      <c r="X758" s="33"/>
      <c r="Y758" s="33"/>
    </row>
    <row r="759" spans="1:25" ht="15.75" customHeight="1">
      <c r="A759" s="33"/>
      <c r="B759" s="33"/>
      <c r="H759" s="33"/>
      <c r="I759" s="33"/>
      <c r="P759" s="33"/>
      <c r="Q759" s="33"/>
      <c r="X759" s="33"/>
      <c r="Y759" s="33"/>
    </row>
    <row r="760" spans="1:25" ht="15.75" customHeight="1">
      <c r="A760" s="33"/>
      <c r="B760" s="33"/>
      <c r="H760" s="33"/>
      <c r="I760" s="33"/>
      <c r="P760" s="33"/>
      <c r="Q760" s="33"/>
      <c r="X760" s="33"/>
      <c r="Y760" s="33"/>
    </row>
    <row r="761" spans="1:25" ht="15.75" customHeight="1">
      <c r="A761" s="33"/>
      <c r="B761" s="33"/>
      <c r="H761" s="33"/>
      <c r="I761" s="33"/>
      <c r="P761" s="33"/>
      <c r="Q761" s="33"/>
      <c r="X761" s="33"/>
      <c r="Y761" s="33"/>
    </row>
    <row r="762" spans="1:25" ht="15.75" customHeight="1">
      <c r="A762" s="33"/>
      <c r="B762" s="33"/>
      <c r="H762" s="33"/>
      <c r="I762" s="33"/>
      <c r="P762" s="33"/>
      <c r="Q762" s="33"/>
      <c r="X762" s="33"/>
      <c r="Y762" s="33"/>
    </row>
    <row r="763" spans="1:25" ht="15.75" customHeight="1">
      <c r="A763" s="33"/>
      <c r="B763" s="33"/>
      <c r="H763" s="33"/>
      <c r="I763" s="33"/>
      <c r="P763" s="33"/>
      <c r="Q763" s="33"/>
      <c r="X763" s="33"/>
      <c r="Y763" s="33"/>
    </row>
    <row r="764" spans="1:25" ht="15.75" customHeight="1">
      <c r="A764" s="33"/>
      <c r="B764" s="33"/>
      <c r="H764" s="33"/>
      <c r="I764" s="33"/>
      <c r="P764" s="33"/>
      <c r="Q764" s="33"/>
      <c r="X764" s="33"/>
      <c r="Y764" s="33"/>
    </row>
    <row r="765" spans="1:25" ht="15.75" customHeight="1">
      <c r="A765" s="33"/>
      <c r="B765" s="33"/>
      <c r="H765" s="33"/>
      <c r="I765" s="33"/>
      <c r="P765" s="33"/>
      <c r="Q765" s="33"/>
      <c r="X765" s="33"/>
      <c r="Y765" s="33"/>
    </row>
    <row r="766" spans="1:25" ht="15.75" customHeight="1">
      <c r="A766" s="33"/>
      <c r="B766" s="33"/>
      <c r="H766" s="33"/>
      <c r="I766" s="33"/>
      <c r="P766" s="33"/>
      <c r="Q766" s="33"/>
      <c r="X766" s="33"/>
      <c r="Y766" s="33"/>
    </row>
    <row r="767" spans="1:25" ht="15.75" customHeight="1">
      <c r="A767" s="33"/>
      <c r="B767" s="33"/>
      <c r="H767" s="33"/>
      <c r="I767" s="33"/>
      <c r="P767" s="33"/>
      <c r="Q767" s="33"/>
      <c r="X767" s="33"/>
      <c r="Y767" s="33"/>
    </row>
    <row r="768" spans="1:25" ht="15.75" customHeight="1">
      <c r="A768" s="33"/>
      <c r="B768" s="33"/>
      <c r="H768" s="33"/>
      <c r="I768" s="33"/>
      <c r="P768" s="33"/>
      <c r="Q768" s="33"/>
      <c r="X768" s="33"/>
      <c r="Y768" s="33"/>
    </row>
    <row r="769" spans="1:25" ht="15.75" customHeight="1">
      <c r="A769" s="33"/>
      <c r="B769" s="33"/>
      <c r="H769" s="33"/>
      <c r="I769" s="33"/>
      <c r="P769" s="33"/>
      <c r="Q769" s="33"/>
      <c r="X769" s="33"/>
      <c r="Y769" s="33"/>
    </row>
    <row r="770" spans="1:25" ht="15.75" customHeight="1">
      <c r="A770" s="33"/>
      <c r="B770" s="33"/>
      <c r="H770" s="33"/>
      <c r="I770" s="33"/>
      <c r="P770" s="33"/>
      <c r="Q770" s="33"/>
      <c r="X770" s="33"/>
      <c r="Y770" s="33"/>
    </row>
    <row r="771" spans="1:25" ht="15.75" customHeight="1">
      <c r="A771" s="33"/>
      <c r="B771" s="33"/>
      <c r="H771" s="33"/>
      <c r="I771" s="33"/>
      <c r="P771" s="33"/>
      <c r="Q771" s="33"/>
      <c r="X771" s="33"/>
      <c r="Y771" s="33"/>
    </row>
    <row r="772" spans="1:25" ht="15.75" customHeight="1">
      <c r="A772" s="33"/>
      <c r="B772" s="33"/>
      <c r="H772" s="33"/>
      <c r="I772" s="33"/>
      <c r="P772" s="33"/>
      <c r="Q772" s="33"/>
      <c r="X772" s="33"/>
      <c r="Y772" s="33"/>
    </row>
    <row r="773" spans="1:25" ht="15.75" customHeight="1">
      <c r="A773" s="33"/>
      <c r="B773" s="33"/>
      <c r="H773" s="33"/>
      <c r="I773" s="33"/>
      <c r="P773" s="33"/>
      <c r="Q773" s="33"/>
      <c r="X773" s="33"/>
      <c r="Y773" s="33"/>
    </row>
    <row r="774" spans="1:25" ht="15.75" customHeight="1">
      <c r="A774" s="33"/>
      <c r="B774" s="33"/>
      <c r="H774" s="33"/>
      <c r="I774" s="33"/>
      <c r="P774" s="33"/>
      <c r="Q774" s="33"/>
      <c r="X774" s="33"/>
      <c r="Y774" s="33"/>
    </row>
    <row r="775" spans="1:25" ht="15.75" customHeight="1">
      <c r="A775" s="33"/>
      <c r="B775" s="33"/>
      <c r="H775" s="33"/>
      <c r="I775" s="33"/>
      <c r="P775" s="33"/>
      <c r="Q775" s="33"/>
      <c r="X775" s="33"/>
      <c r="Y775" s="33"/>
    </row>
    <row r="776" spans="1:25" ht="15.75" customHeight="1">
      <c r="A776" s="33"/>
      <c r="B776" s="33"/>
      <c r="H776" s="33"/>
      <c r="I776" s="33"/>
      <c r="P776" s="33"/>
      <c r="Q776" s="33"/>
      <c r="X776" s="33"/>
      <c r="Y776" s="33"/>
    </row>
    <row r="777" spans="1:25" ht="15.75" customHeight="1">
      <c r="A777" s="33"/>
      <c r="B777" s="33"/>
      <c r="H777" s="33"/>
      <c r="I777" s="33"/>
      <c r="P777" s="33"/>
      <c r="Q777" s="33"/>
      <c r="X777" s="33"/>
      <c r="Y777" s="33"/>
    </row>
    <row r="778" spans="1:25" ht="15.75" customHeight="1">
      <c r="A778" s="33"/>
      <c r="B778" s="33"/>
      <c r="H778" s="33"/>
      <c r="I778" s="33"/>
      <c r="P778" s="33"/>
      <c r="Q778" s="33"/>
      <c r="X778" s="33"/>
      <c r="Y778" s="33"/>
    </row>
    <row r="779" spans="1:25" ht="15.75" customHeight="1">
      <c r="A779" s="33"/>
      <c r="B779" s="33"/>
      <c r="H779" s="33"/>
      <c r="I779" s="33"/>
      <c r="P779" s="33"/>
      <c r="Q779" s="33"/>
      <c r="X779" s="33"/>
      <c r="Y779" s="33"/>
    </row>
    <row r="780" spans="1:25" ht="15.75" customHeight="1">
      <c r="A780" s="33"/>
      <c r="B780" s="33"/>
      <c r="H780" s="33"/>
      <c r="I780" s="33"/>
      <c r="P780" s="33"/>
      <c r="Q780" s="33"/>
      <c r="X780" s="33"/>
      <c r="Y780" s="33"/>
    </row>
    <row r="781" spans="1:25" ht="15.75" customHeight="1">
      <c r="A781" s="33"/>
      <c r="B781" s="33"/>
      <c r="H781" s="33"/>
      <c r="I781" s="33"/>
      <c r="P781" s="33"/>
      <c r="Q781" s="33"/>
      <c r="X781" s="33"/>
      <c r="Y781" s="33"/>
    </row>
    <row r="782" spans="1:25" ht="15.75" customHeight="1">
      <c r="A782" s="33"/>
      <c r="B782" s="33"/>
      <c r="H782" s="33"/>
      <c r="I782" s="33"/>
      <c r="P782" s="33"/>
      <c r="Q782" s="33"/>
      <c r="X782" s="33"/>
      <c r="Y782" s="33"/>
    </row>
    <row r="783" spans="1:25" ht="15.75" customHeight="1">
      <c r="A783" s="33"/>
      <c r="B783" s="33"/>
      <c r="H783" s="33"/>
      <c r="I783" s="33"/>
      <c r="P783" s="33"/>
      <c r="Q783" s="33"/>
      <c r="X783" s="33"/>
      <c r="Y783" s="33"/>
    </row>
    <row r="784" spans="1:25" ht="15.75" customHeight="1">
      <c r="A784" s="33"/>
      <c r="B784" s="33"/>
      <c r="H784" s="33"/>
      <c r="I784" s="33"/>
      <c r="P784" s="33"/>
      <c r="Q784" s="33"/>
      <c r="X784" s="33"/>
      <c r="Y784" s="33"/>
    </row>
    <row r="785" spans="1:25" ht="15.75" customHeight="1">
      <c r="A785" s="33"/>
      <c r="B785" s="33"/>
      <c r="H785" s="33"/>
      <c r="I785" s="33"/>
      <c r="P785" s="33"/>
      <c r="Q785" s="33"/>
      <c r="X785" s="33"/>
      <c r="Y785" s="33"/>
    </row>
    <row r="786" spans="1:25" ht="15.75" customHeight="1">
      <c r="A786" s="33"/>
      <c r="B786" s="33"/>
      <c r="H786" s="33"/>
      <c r="I786" s="33"/>
      <c r="P786" s="33"/>
      <c r="Q786" s="33"/>
      <c r="X786" s="33"/>
      <c r="Y786" s="33"/>
    </row>
    <row r="787" spans="1:25" ht="15.75" customHeight="1">
      <c r="A787" s="33"/>
      <c r="B787" s="33"/>
      <c r="H787" s="33"/>
      <c r="I787" s="33"/>
      <c r="P787" s="33"/>
      <c r="Q787" s="33"/>
      <c r="X787" s="33"/>
      <c r="Y787" s="33"/>
    </row>
    <row r="788" spans="1:25" ht="15.75" customHeight="1">
      <c r="A788" s="33"/>
      <c r="B788" s="33"/>
      <c r="H788" s="33"/>
      <c r="I788" s="33"/>
      <c r="P788" s="33"/>
      <c r="Q788" s="33"/>
      <c r="X788" s="33"/>
      <c r="Y788" s="33"/>
    </row>
    <row r="789" spans="1:25" ht="15.75" customHeight="1">
      <c r="A789" s="33"/>
      <c r="B789" s="33"/>
      <c r="H789" s="33"/>
      <c r="I789" s="33"/>
      <c r="P789" s="33"/>
      <c r="Q789" s="33"/>
      <c r="X789" s="33"/>
      <c r="Y789" s="33"/>
    </row>
    <row r="790" spans="1:25" ht="15.75" customHeight="1">
      <c r="A790" s="33"/>
      <c r="B790" s="33"/>
      <c r="H790" s="33"/>
      <c r="I790" s="33"/>
      <c r="P790" s="33"/>
      <c r="Q790" s="33"/>
      <c r="X790" s="33"/>
      <c r="Y790" s="33"/>
    </row>
    <row r="791" spans="1:25" ht="15.75" customHeight="1">
      <c r="A791" s="33"/>
      <c r="B791" s="33"/>
      <c r="H791" s="33"/>
      <c r="I791" s="33"/>
      <c r="P791" s="33"/>
      <c r="Q791" s="33"/>
      <c r="X791" s="33"/>
      <c r="Y791" s="33"/>
    </row>
    <row r="792" spans="1:25" ht="15.75" customHeight="1">
      <c r="A792" s="33"/>
      <c r="B792" s="33"/>
      <c r="H792" s="33"/>
      <c r="I792" s="33"/>
      <c r="P792" s="33"/>
      <c r="Q792" s="33"/>
      <c r="X792" s="33"/>
      <c r="Y792" s="33"/>
    </row>
    <row r="793" spans="1:25" ht="15.75" customHeight="1">
      <c r="A793" s="33"/>
      <c r="B793" s="33"/>
      <c r="H793" s="33"/>
      <c r="I793" s="33"/>
      <c r="P793" s="33"/>
      <c r="Q793" s="33"/>
      <c r="X793" s="33"/>
      <c r="Y793" s="33"/>
    </row>
    <row r="794" spans="1:25" ht="15.75" customHeight="1">
      <c r="A794" s="33"/>
      <c r="B794" s="33"/>
      <c r="H794" s="33"/>
      <c r="I794" s="33"/>
      <c r="P794" s="33"/>
      <c r="Q794" s="33"/>
      <c r="X794" s="33"/>
      <c r="Y794" s="33"/>
    </row>
    <row r="795" spans="1:25" ht="15.75" customHeight="1">
      <c r="A795" s="33"/>
      <c r="B795" s="33"/>
      <c r="H795" s="33"/>
      <c r="I795" s="33"/>
      <c r="P795" s="33"/>
      <c r="Q795" s="33"/>
      <c r="X795" s="33"/>
      <c r="Y795" s="33"/>
    </row>
    <row r="796" spans="1:25" ht="15.75" customHeight="1">
      <c r="A796" s="33"/>
      <c r="B796" s="33"/>
      <c r="H796" s="33"/>
      <c r="I796" s="33"/>
      <c r="P796" s="33"/>
      <c r="Q796" s="33"/>
      <c r="X796" s="33"/>
      <c r="Y796" s="33"/>
    </row>
    <row r="797" spans="1:25" ht="15.75" customHeight="1">
      <c r="A797" s="33"/>
      <c r="B797" s="33"/>
      <c r="H797" s="33"/>
      <c r="I797" s="33"/>
      <c r="P797" s="33"/>
      <c r="Q797" s="33"/>
      <c r="X797" s="33"/>
      <c r="Y797" s="33"/>
    </row>
    <row r="798" spans="1:25" ht="15.75" customHeight="1">
      <c r="A798" s="33"/>
      <c r="B798" s="33"/>
      <c r="H798" s="33"/>
      <c r="I798" s="33"/>
      <c r="P798" s="33"/>
      <c r="Q798" s="33"/>
      <c r="X798" s="33"/>
      <c r="Y798" s="33"/>
    </row>
    <row r="799" spans="1:25" ht="15.75" customHeight="1">
      <c r="A799" s="33"/>
      <c r="B799" s="33"/>
      <c r="H799" s="33"/>
      <c r="I799" s="33"/>
      <c r="P799" s="33"/>
      <c r="Q799" s="33"/>
      <c r="X799" s="33"/>
      <c r="Y799" s="33"/>
    </row>
    <row r="800" spans="1:25" ht="15.75" customHeight="1">
      <c r="A800" s="33"/>
      <c r="B800" s="33"/>
      <c r="H800" s="33"/>
      <c r="I800" s="33"/>
      <c r="P800" s="33"/>
      <c r="Q800" s="33"/>
      <c r="X800" s="33"/>
      <c r="Y800" s="33"/>
    </row>
    <row r="801" spans="1:25" ht="15.75" customHeight="1">
      <c r="A801" s="33"/>
      <c r="B801" s="33"/>
      <c r="H801" s="33"/>
      <c r="I801" s="33"/>
      <c r="P801" s="33"/>
      <c r="Q801" s="33"/>
      <c r="X801" s="33"/>
      <c r="Y801" s="33"/>
    </row>
    <row r="802" spans="1:25" ht="15.75" customHeight="1">
      <c r="A802" s="33"/>
      <c r="B802" s="33"/>
      <c r="H802" s="33"/>
      <c r="I802" s="33"/>
      <c r="P802" s="33"/>
      <c r="Q802" s="33"/>
      <c r="X802" s="33"/>
      <c r="Y802" s="33"/>
    </row>
    <row r="803" spans="1:25" ht="15.75" customHeight="1">
      <c r="A803" s="33"/>
      <c r="B803" s="33"/>
      <c r="H803" s="33"/>
      <c r="I803" s="33"/>
      <c r="P803" s="33"/>
      <c r="Q803" s="33"/>
      <c r="X803" s="33"/>
      <c r="Y803" s="33"/>
    </row>
    <row r="804" spans="1:25" ht="15.75" customHeight="1">
      <c r="A804" s="33"/>
      <c r="B804" s="33"/>
      <c r="H804" s="33"/>
      <c r="I804" s="33"/>
      <c r="P804" s="33"/>
      <c r="Q804" s="33"/>
      <c r="X804" s="33"/>
      <c r="Y804" s="33"/>
    </row>
    <row r="805" spans="1:25" ht="15.75" customHeight="1">
      <c r="A805" s="33"/>
      <c r="B805" s="33"/>
      <c r="H805" s="33"/>
      <c r="I805" s="33"/>
      <c r="P805" s="33"/>
      <c r="Q805" s="33"/>
      <c r="X805" s="33"/>
      <c r="Y805" s="33"/>
    </row>
    <row r="806" spans="1:25" ht="15.75" customHeight="1">
      <c r="A806" s="33"/>
      <c r="B806" s="33"/>
      <c r="H806" s="33"/>
      <c r="I806" s="33"/>
      <c r="P806" s="33"/>
      <c r="Q806" s="33"/>
      <c r="X806" s="33"/>
      <c r="Y806" s="33"/>
    </row>
    <row r="807" spans="1:25" ht="15.75" customHeight="1">
      <c r="A807" s="33"/>
      <c r="B807" s="33"/>
      <c r="H807" s="33"/>
      <c r="I807" s="33"/>
      <c r="P807" s="33"/>
      <c r="Q807" s="33"/>
      <c r="X807" s="33"/>
      <c r="Y807" s="33"/>
    </row>
    <row r="808" spans="1:25" ht="15.75" customHeight="1">
      <c r="A808" s="33"/>
      <c r="B808" s="33"/>
      <c r="H808" s="33"/>
      <c r="I808" s="33"/>
      <c r="P808" s="33"/>
      <c r="Q808" s="33"/>
      <c r="X808" s="33"/>
      <c r="Y808" s="33"/>
    </row>
    <row r="809" spans="1:25" ht="15.75" customHeight="1">
      <c r="A809" s="33"/>
      <c r="B809" s="33"/>
      <c r="H809" s="33"/>
      <c r="I809" s="33"/>
      <c r="P809" s="33"/>
      <c r="Q809" s="33"/>
      <c r="X809" s="33"/>
      <c r="Y809" s="33"/>
    </row>
    <row r="810" spans="1:25" ht="15.75" customHeight="1">
      <c r="A810" s="33"/>
      <c r="B810" s="33"/>
      <c r="H810" s="33"/>
      <c r="I810" s="33"/>
      <c r="P810" s="33"/>
      <c r="Q810" s="33"/>
      <c r="X810" s="33"/>
      <c r="Y810" s="33"/>
    </row>
    <row r="811" spans="1:25" ht="15.75" customHeight="1">
      <c r="A811" s="33"/>
      <c r="B811" s="33"/>
      <c r="H811" s="33"/>
      <c r="I811" s="33"/>
      <c r="P811" s="33"/>
      <c r="Q811" s="33"/>
      <c r="X811" s="33"/>
      <c r="Y811" s="33"/>
    </row>
    <row r="812" spans="1:25" ht="15.75" customHeight="1">
      <c r="A812" s="33"/>
      <c r="B812" s="33"/>
      <c r="H812" s="33"/>
      <c r="I812" s="33"/>
      <c r="P812" s="33"/>
      <c r="Q812" s="33"/>
      <c r="X812" s="33"/>
      <c r="Y812" s="33"/>
    </row>
    <row r="813" spans="1:25" ht="15.75" customHeight="1">
      <c r="A813" s="33"/>
      <c r="B813" s="33"/>
      <c r="H813" s="33"/>
      <c r="I813" s="33"/>
      <c r="P813" s="33"/>
      <c r="Q813" s="33"/>
      <c r="X813" s="33"/>
      <c r="Y813" s="33"/>
    </row>
    <row r="814" spans="1:25" ht="15.75" customHeight="1">
      <c r="A814" s="33"/>
      <c r="B814" s="33"/>
      <c r="H814" s="33"/>
      <c r="I814" s="33"/>
      <c r="P814" s="33"/>
      <c r="Q814" s="33"/>
      <c r="X814" s="33"/>
      <c r="Y814" s="33"/>
    </row>
    <row r="815" spans="1:25" ht="15.75" customHeight="1">
      <c r="A815" s="33"/>
      <c r="B815" s="33"/>
      <c r="H815" s="33"/>
      <c r="I815" s="33"/>
      <c r="P815" s="33"/>
      <c r="Q815" s="33"/>
      <c r="X815" s="33"/>
      <c r="Y815" s="33"/>
    </row>
    <row r="816" spans="1:25" ht="15.75" customHeight="1">
      <c r="A816" s="33"/>
      <c r="B816" s="33"/>
      <c r="H816" s="33"/>
      <c r="I816" s="33"/>
      <c r="P816" s="33"/>
      <c r="Q816" s="33"/>
      <c r="X816" s="33"/>
      <c r="Y816" s="33"/>
    </row>
    <row r="817" spans="1:25" ht="15.75" customHeight="1">
      <c r="A817" s="33"/>
      <c r="B817" s="33"/>
      <c r="H817" s="33"/>
      <c r="I817" s="33"/>
      <c r="P817" s="33"/>
      <c r="Q817" s="33"/>
      <c r="X817" s="33"/>
      <c r="Y817" s="33"/>
    </row>
    <row r="818" spans="1:25" ht="15.75" customHeight="1">
      <c r="A818" s="33"/>
      <c r="B818" s="33"/>
      <c r="H818" s="33"/>
      <c r="I818" s="33"/>
      <c r="P818" s="33"/>
      <c r="Q818" s="33"/>
      <c r="X818" s="33"/>
      <c r="Y818" s="33"/>
    </row>
    <row r="819" spans="1:25" ht="15.75" customHeight="1">
      <c r="A819" s="33"/>
      <c r="B819" s="33"/>
      <c r="H819" s="33"/>
      <c r="I819" s="33"/>
      <c r="P819" s="33"/>
      <c r="Q819" s="33"/>
      <c r="X819" s="33"/>
      <c r="Y819" s="33"/>
    </row>
    <row r="820" spans="1:25" ht="15.75" customHeight="1">
      <c r="A820" s="33"/>
      <c r="B820" s="33"/>
      <c r="H820" s="33"/>
      <c r="I820" s="33"/>
      <c r="P820" s="33"/>
      <c r="Q820" s="33"/>
      <c r="X820" s="33"/>
      <c r="Y820" s="33"/>
    </row>
    <row r="821" spans="1:25" ht="15.75" customHeight="1">
      <c r="A821" s="33"/>
      <c r="B821" s="33"/>
      <c r="H821" s="33"/>
      <c r="I821" s="33"/>
      <c r="P821" s="33"/>
      <c r="Q821" s="33"/>
      <c r="X821" s="33"/>
      <c r="Y821" s="33"/>
    </row>
    <row r="822" spans="1:25" ht="15.75" customHeight="1">
      <c r="A822" s="33"/>
      <c r="B822" s="33"/>
      <c r="H822" s="33"/>
      <c r="I822" s="33"/>
      <c r="P822" s="33"/>
      <c r="Q822" s="33"/>
      <c r="X822" s="33"/>
      <c r="Y822" s="33"/>
    </row>
    <row r="823" spans="1:25" ht="15.75" customHeight="1">
      <c r="A823" s="33"/>
      <c r="B823" s="33"/>
      <c r="H823" s="33"/>
      <c r="I823" s="33"/>
      <c r="P823" s="33"/>
      <c r="Q823" s="33"/>
      <c r="X823" s="33"/>
      <c r="Y823" s="33"/>
    </row>
    <row r="824" spans="1:25" ht="15.75" customHeight="1">
      <c r="A824" s="33"/>
      <c r="B824" s="33"/>
      <c r="H824" s="33"/>
      <c r="I824" s="33"/>
      <c r="P824" s="33"/>
      <c r="Q824" s="33"/>
      <c r="X824" s="33"/>
      <c r="Y824" s="33"/>
    </row>
    <row r="825" spans="1:25" ht="15.75" customHeight="1">
      <c r="A825" s="33"/>
      <c r="B825" s="33"/>
      <c r="H825" s="33"/>
      <c r="I825" s="33"/>
      <c r="P825" s="33"/>
      <c r="Q825" s="33"/>
      <c r="X825" s="33"/>
      <c r="Y825" s="33"/>
    </row>
    <row r="826" spans="1:25" ht="15.75" customHeight="1">
      <c r="A826" s="33"/>
      <c r="B826" s="33"/>
      <c r="H826" s="33"/>
      <c r="I826" s="33"/>
      <c r="P826" s="33"/>
      <c r="Q826" s="33"/>
      <c r="X826" s="33"/>
      <c r="Y826" s="33"/>
    </row>
    <row r="827" spans="1:25" ht="15.75" customHeight="1">
      <c r="A827" s="33"/>
      <c r="B827" s="33"/>
      <c r="H827" s="33"/>
      <c r="I827" s="33"/>
      <c r="P827" s="33"/>
      <c r="Q827" s="33"/>
      <c r="X827" s="33"/>
      <c r="Y827" s="33"/>
    </row>
    <row r="828" spans="1:25" ht="15.75" customHeight="1">
      <c r="A828" s="33"/>
      <c r="B828" s="33"/>
      <c r="H828" s="33"/>
      <c r="I828" s="33"/>
      <c r="P828" s="33"/>
      <c r="Q828" s="33"/>
      <c r="X828" s="33"/>
      <c r="Y828" s="33"/>
    </row>
    <row r="829" spans="1:25" ht="15.75" customHeight="1">
      <c r="A829" s="33"/>
      <c r="B829" s="33"/>
      <c r="H829" s="33"/>
      <c r="I829" s="33"/>
      <c r="P829" s="33"/>
      <c r="Q829" s="33"/>
      <c r="X829" s="33"/>
      <c r="Y829" s="33"/>
    </row>
    <row r="830" spans="1:25" ht="15.75" customHeight="1">
      <c r="A830" s="33"/>
      <c r="B830" s="33"/>
      <c r="H830" s="33"/>
      <c r="I830" s="33"/>
      <c r="P830" s="33"/>
      <c r="Q830" s="33"/>
      <c r="X830" s="33"/>
      <c r="Y830" s="33"/>
    </row>
    <row r="831" spans="1:25" ht="15.75" customHeight="1">
      <c r="A831" s="33"/>
      <c r="B831" s="33"/>
      <c r="H831" s="33"/>
      <c r="I831" s="33"/>
      <c r="P831" s="33"/>
      <c r="Q831" s="33"/>
      <c r="X831" s="33"/>
      <c r="Y831" s="33"/>
    </row>
    <row r="832" spans="1:25" ht="15.75" customHeight="1">
      <c r="A832" s="33"/>
      <c r="B832" s="33"/>
      <c r="H832" s="33"/>
      <c r="I832" s="33"/>
      <c r="P832" s="33"/>
      <c r="Q832" s="33"/>
      <c r="X832" s="33"/>
      <c r="Y832" s="33"/>
    </row>
    <row r="833" spans="1:25" ht="15.75" customHeight="1">
      <c r="A833" s="33"/>
      <c r="B833" s="33"/>
      <c r="H833" s="33"/>
      <c r="I833" s="33"/>
      <c r="P833" s="33"/>
      <c r="Q833" s="33"/>
      <c r="X833" s="33"/>
      <c r="Y833" s="33"/>
    </row>
    <row r="834" spans="1:25" ht="15.75" customHeight="1">
      <c r="A834" s="33"/>
      <c r="B834" s="33"/>
      <c r="H834" s="33"/>
      <c r="I834" s="33"/>
      <c r="P834" s="33"/>
      <c r="Q834" s="33"/>
      <c r="X834" s="33"/>
      <c r="Y834" s="33"/>
    </row>
    <row r="835" spans="1:25" ht="15.75" customHeight="1">
      <c r="A835" s="33"/>
      <c r="B835" s="33"/>
      <c r="H835" s="33"/>
      <c r="I835" s="33"/>
      <c r="P835" s="33"/>
      <c r="Q835" s="33"/>
      <c r="X835" s="33"/>
      <c r="Y835" s="33"/>
    </row>
    <row r="836" spans="1:25" ht="15.75" customHeight="1">
      <c r="A836" s="33"/>
      <c r="B836" s="33"/>
      <c r="H836" s="33"/>
      <c r="I836" s="33"/>
      <c r="P836" s="33"/>
      <c r="Q836" s="33"/>
      <c r="X836" s="33"/>
      <c r="Y836" s="33"/>
    </row>
    <row r="837" spans="1:25" ht="15.75" customHeight="1">
      <c r="A837" s="33"/>
      <c r="B837" s="33"/>
      <c r="H837" s="33"/>
      <c r="I837" s="33"/>
      <c r="P837" s="33"/>
      <c r="Q837" s="33"/>
      <c r="X837" s="33"/>
      <c r="Y837" s="33"/>
    </row>
    <row r="838" spans="1:25" ht="15.75" customHeight="1">
      <c r="A838" s="33"/>
      <c r="B838" s="33"/>
      <c r="H838" s="33"/>
      <c r="I838" s="33"/>
      <c r="P838" s="33"/>
      <c r="Q838" s="33"/>
      <c r="X838" s="33"/>
      <c r="Y838" s="33"/>
    </row>
    <row r="839" spans="1:25" ht="15.75" customHeight="1">
      <c r="A839" s="33"/>
      <c r="B839" s="33"/>
      <c r="H839" s="33"/>
      <c r="I839" s="33"/>
      <c r="P839" s="33"/>
      <c r="Q839" s="33"/>
      <c r="X839" s="33"/>
      <c r="Y839" s="33"/>
    </row>
    <row r="840" spans="1:25" ht="15.75" customHeight="1">
      <c r="A840" s="33"/>
      <c r="B840" s="33"/>
      <c r="H840" s="33"/>
      <c r="I840" s="33"/>
      <c r="P840" s="33"/>
      <c r="Q840" s="33"/>
      <c r="X840" s="33"/>
      <c r="Y840" s="33"/>
    </row>
    <row r="841" spans="1:25" ht="15.75" customHeight="1">
      <c r="A841" s="33"/>
      <c r="B841" s="33"/>
      <c r="H841" s="33"/>
      <c r="I841" s="33"/>
      <c r="P841" s="33"/>
      <c r="Q841" s="33"/>
      <c r="X841" s="33"/>
      <c r="Y841" s="33"/>
    </row>
    <row r="842" spans="1:25" ht="15.75" customHeight="1">
      <c r="A842" s="33"/>
      <c r="B842" s="33"/>
      <c r="H842" s="33"/>
      <c r="I842" s="33"/>
      <c r="P842" s="33"/>
      <c r="Q842" s="33"/>
      <c r="X842" s="33"/>
      <c r="Y842" s="33"/>
    </row>
    <row r="843" spans="1:25" ht="15.75" customHeight="1">
      <c r="A843" s="33"/>
      <c r="B843" s="33"/>
      <c r="H843" s="33"/>
      <c r="I843" s="33"/>
      <c r="P843" s="33"/>
      <c r="Q843" s="33"/>
      <c r="X843" s="33"/>
      <c r="Y843" s="33"/>
    </row>
    <row r="844" spans="1:25" ht="15.75" customHeight="1">
      <c r="A844" s="33"/>
      <c r="B844" s="33"/>
      <c r="H844" s="33"/>
      <c r="I844" s="33"/>
      <c r="P844" s="33"/>
      <c r="Q844" s="33"/>
      <c r="X844" s="33"/>
      <c r="Y844" s="33"/>
    </row>
    <row r="845" spans="1:25" ht="15.75" customHeight="1">
      <c r="A845" s="33"/>
      <c r="B845" s="33"/>
      <c r="H845" s="33"/>
      <c r="I845" s="33"/>
      <c r="P845" s="33"/>
      <c r="Q845" s="33"/>
      <c r="X845" s="33"/>
      <c r="Y845" s="33"/>
    </row>
    <row r="846" spans="1:25" ht="15.75" customHeight="1">
      <c r="A846" s="33"/>
      <c r="B846" s="33"/>
      <c r="H846" s="33"/>
      <c r="I846" s="33"/>
      <c r="P846" s="33"/>
      <c r="Q846" s="33"/>
      <c r="X846" s="33"/>
      <c r="Y846" s="33"/>
    </row>
    <row r="847" spans="1:25" ht="15.75" customHeight="1">
      <c r="A847" s="33"/>
      <c r="B847" s="33"/>
      <c r="H847" s="33"/>
      <c r="I847" s="33"/>
      <c r="P847" s="33"/>
      <c r="Q847" s="33"/>
      <c r="X847" s="33"/>
      <c r="Y847" s="33"/>
    </row>
    <row r="848" spans="1:25" ht="15.75" customHeight="1">
      <c r="A848" s="33"/>
      <c r="B848" s="33"/>
      <c r="H848" s="33"/>
      <c r="I848" s="33"/>
      <c r="P848" s="33"/>
      <c r="Q848" s="33"/>
      <c r="X848" s="33"/>
      <c r="Y848" s="33"/>
    </row>
    <row r="849" spans="1:25" ht="15.75" customHeight="1">
      <c r="A849" s="33"/>
      <c r="B849" s="33"/>
      <c r="H849" s="33"/>
      <c r="I849" s="33"/>
      <c r="P849" s="33"/>
      <c r="Q849" s="33"/>
      <c r="X849" s="33"/>
      <c r="Y849" s="33"/>
    </row>
    <row r="850" spans="1:25" ht="15.75" customHeight="1">
      <c r="A850" s="33"/>
      <c r="B850" s="33"/>
      <c r="H850" s="33"/>
      <c r="I850" s="33"/>
      <c r="P850" s="33"/>
      <c r="Q850" s="33"/>
      <c r="X850" s="33"/>
      <c r="Y850" s="33"/>
    </row>
    <row r="851" spans="1:25" ht="15.75" customHeight="1">
      <c r="A851" s="33"/>
      <c r="B851" s="33"/>
      <c r="H851" s="33"/>
      <c r="I851" s="33"/>
      <c r="P851" s="33"/>
      <c r="Q851" s="33"/>
      <c r="X851" s="33"/>
      <c r="Y851" s="33"/>
    </row>
    <row r="852" spans="1:25" ht="15.75" customHeight="1">
      <c r="A852" s="33"/>
      <c r="B852" s="33"/>
      <c r="H852" s="33"/>
      <c r="I852" s="33"/>
      <c r="P852" s="33"/>
      <c r="Q852" s="33"/>
      <c r="X852" s="33"/>
      <c r="Y852" s="33"/>
    </row>
    <row r="853" spans="1:25" ht="15.75" customHeight="1">
      <c r="A853" s="33"/>
      <c r="B853" s="33"/>
      <c r="H853" s="33"/>
      <c r="I853" s="33"/>
      <c r="P853" s="33"/>
      <c r="Q853" s="33"/>
      <c r="X853" s="33"/>
      <c r="Y853" s="33"/>
    </row>
    <row r="854" spans="1:25" ht="15.75" customHeight="1">
      <c r="A854" s="33"/>
      <c r="B854" s="33"/>
      <c r="H854" s="33"/>
      <c r="I854" s="33"/>
      <c r="P854" s="33"/>
      <c r="Q854" s="33"/>
      <c r="X854" s="33"/>
      <c r="Y854" s="33"/>
    </row>
    <row r="855" spans="1:25" ht="15.75" customHeight="1">
      <c r="A855" s="33"/>
      <c r="B855" s="33"/>
      <c r="H855" s="33"/>
      <c r="I855" s="33"/>
      <c r="P855" s="33"/>
      <c r="Q855" s="33"/>
      <c r="X855" s="33"/>
      <c r="Y855" s="33"/>
    </row>
    <row r="856" spans="1:25" ht="15.75" customHeight="1">
      <c r="A856" s="33"/>
      <c r="B856" s="33"/>
      <c r="H856" s="33"/>
      <c r="I856" s="33"/>
      <c r="P856" s="33"/>
      <c r="Q856" s="33"/>
      <c r="X856" s="33"/>
      <c r="Y856" s="33"/>
    </row>
    <row r="857" spans="1:25" ht="15.75" customHeight="1">
      <c r="A857" s="33"/>
      <c r="B857" s="33"/>
      <c r="H857" s="33"/>
      <c r="I857" s="33"/>
      <c r="P857" s="33"/>
      <c r="Q857" s="33"/>
      <c r="X857" s="33"/>
      <c r="Y857" s="33"/>
    </row>
    <row r="858" spans="1:25" ht="15.75" customHeight="1">
      <c r="A858" s="33"/>
      <c r="B858" s="33"/>
      <c r="H858" s="33"/>
      <c r="I858" s="33"/>
      <c r="P858" s="33"/>
      <c r="Q858" s="33"/>
      <c r="X858" s="33"/>
      <c r="Y858" s="33"/>
    </row>
    <row r="859" spans="1:25" ht="15.75" customHeight="1">
      <c r="A859" s="33"/>
      <c r="B859" s="33"/>
      <c r="H859" s="33"/>
      <c r="I859" s="33"/>
      <c r="P859" s="33"/>
      <c r="Q859" s="33"/>
      <c r="X859" s="33"/>
      <c r="Y859" s="33"/>
    </row>
    <row r="860" spans="1:25" ht="15.75" customHeight="1">
      <c r="A860" s="33"/>
      <c r="B860" s="33"/>
      <c r="H860" s="33"/>
      <c r="I860" s="33"/>
      <c r="P860" s="33"/>
      <c r="Q860" s="33"/>
      <c r="X860" s="33"/>
      <c r="Y860" s="33"/>
    </row>
    <row r="861" spans="1:25" ht="15.75" customHeight="1">
      <c r="A861" s="33"/>
      <c r="B861" s="33"/>
      <c r="H861" s="33"/>
      <c r="I861" s="33"/>
      <c r="P861" s="33"/>
      <c r="Q861" s="33"/>
      <c r="X861" s="33"/>
      <c r="Y861" s="33"/>
    </row>
    <row r="862" spans="1:25" ht="15.75" customHeight="1">
      <c r="A862" s="33"/>
      <c r="B862" s="33"/>
      <c r="H862" s="33"/>
      <c r="I862" s="33"/>
      <c r="P862" s="33"/>
      <c r="Q862" s="33"/>
      <c r="X862" s="33"/>
      <c r="Y862" s="33"/>
    </row>
    <row r="863" spans="1:25" ht="15.75" customHeight="1">
      <c r="A863" s="33"/>
      <c r="B863" s="33"/>
      <c r="H863" s="33"/>
      <c r="I863" s="33"/>
      <c r="P863" s="33"/>
      <c r="Q863" s="33"/>
      <c r="X863" s="33"/>
      <c r="Y863" s="33"/>
    </row>
    <row r="864" spans="1:25" ht="15.75" customHeight="1">
      <c r="A864" s="33"/>
      <c r="B864" s="33"/>
      <c r="H864" s="33"/>
      <c r="I864" s="33"/>
      <c r="P864" s="33"/>
      <c r="Q864" s="33"/>
      <c r="X864" s="33"/>
      <c r="Y864" s="33"/>
    </row>
    <row r="865" spans="1:25" ht="15.75" customHeight="1">
      <c r="A865" s="33"/>
      <c r="B865" s="33"/>
      <c r="H865" s="33"/>
      <c r="I865" s="33"/>
      <c r="P865" s="33"/>
      <c r="Q865" s="33"/>
      <c r="X865" s="33"/>
      <c r="Y865" s="33"/>
    </row>
    <row r="866" spans="1:25" ht="15.75" customHeight="1">
      <c r="A866" s="33"/>
      <c r="B866" s="33"/>
      <c r="H866" s="33"/>
      <c r="I866" s="33"/>
      <c r="P866" s="33"/>
      <c r="Q866" s="33"/>
      <c r="X866" s="33"/>
      <c r="Y866" s="33"/>
    </row>
    <row r="867" spans="1:25" ht="15.75" customHeight="1">
      <c r="A867" s="33"/>
      <c r="B867" s="33"/>
      <c r="H867" s="33"/>
      <c r="I867" s="33"/>
      <c r="P867" s="33"/>
      <c r="Q867" s="33"/>
      <c r="X867" s="33"/>
      <c r="Y867" s="33"/>
    </row>
    <row r="868" spans="1:25" ht="15.75" customHeight="1">
      <c r="A868" s="33"/>
      <c r="B868" s="33"/>
      <c r="H868" s="33"/>
      <c r="I868" s="33"/>
      <c r="P868" s="33"/>
      <c r="Q868" s="33"/>
      <c r="X868" s="33"/>
      <c r="Y868" s="33"/>
    </row>
    <row r="869" spans="1:25" ht="15.75" customHeight="1">
      <c r="A869" s="33"/>
      <c r="B869" s="33"/>
      <c r="H869" s="33"/>
      <c r="I869" s="33"/>
      <c r="P869" s="33"/>
      <c r="Q869" s="33"/>
      <c r="X869" s="33"/>
      <c r="Y869" s="33"/>
    </row>
    <row r="870" spans="1:25" ht="15.75" customHeight="1">
      <c r="A870" s="33"/>
      <c r="B870" s="33"/>
      <c r="H870" s="33"/>
      <c r="I870" s="33"/>
      <c r="P870" s="33"/>
      <c r="Q870" s="33"/>
      <c r="X870" s="33"/>
      <c r="Y870" s="33"/>
    </row>
    <row r="871" spans="1:25" ht="15.75" customHeight="1">
      <c r="A871" s="33"/>
      <c r="B871" s="33"/>
      <c r="H871" s="33"/>
      <c r="I871" s="33"/>
      <c r="P871" s="33"/>
      <c r="Q871" s="33"/>
      <c r="X871" s="33"/>
      <c r="Y871" s="33"/>
    </row>
    <row r="872" spans="1:25" ht="15.75" customHeight="1">
      <c r="A872" s="33"/>
      <c r="B872" s="33"/>
      <c r="H872" s="33"/>
      <c r="I872" s="33"/>
      <c r="P872" s="33"/>
      <c r="Q872" s="33"/>
      <c r="X872" s="33"/>
      <c r="Y872" s="33"/>
    </row>
    <row r="873" spans="1:25" ht="15.75" customHeight="1">
      <c r="A873" s="33"/>
      <c r="B873" s="33"/>
      <c r="H873" s="33"/>
      <c r="I873" s="33"/>
      <c r="P873" s="33"/>
      <c r="Q873" s="33"/>
      <c r="X873" s="33"/>
      <c r="Y873" s="33"/>
    </row>
    <row r="874" spans="1:25" ht="15.75" customHeight="1">
      <c r="A874" s="33"/>
      <c r="B874" s="33"/>
      <c r="H874" s="33"/>
      <c r="I874" s="33"/>
      <c r="P874" s="33"/>
      <c r="Q874" s="33"/>
      <c r="X874" s="33"/>
      <c r="Y874" s="33"/>
    </row>
    <row r="875" spans="1:25" ht="15.75" customHeight="1">
      <c r="A875" s="33"/>
      <c r="B875" s="33"/>
      <c r="H875" s="33"/>
      <c r="I875" s="33"/>
      <c r="P875" s="33"/>
      <c r="Q875" s="33"/>
      <c r="X875" s="33"/>
      <c r="Y875" s="33"/>
    </row>
    <row r="876" spans="1:25" ht="15.75" customHeight="1">
      <c r="A876" s="33"/>
      <c r="B876" s="33"/>
      <c r="H876" s="33"/>
      <c r="I876" s="33"/>
      <c r="P876" s="33"/>
      <c r="Q876" s="33"/>
      <c r="X876" s="33"/>
      <c r="Y876" s="33"/>
    </row>
    <row r="877" spans="1:25" ht="15.75" customHeight="1">
      <c r="A877" s="33"/>
      <c r="B877" s="33"/>
      <c r="H877" s="33"/>
      <c r="I877" s="33"/>
      <c r="P877" s="33"/>
      <c r="Q877" s="33"/>
      <c r="X877" s="33"/>
      <c r="Y877" s="33"/>
    </row>
    <row r="878" spans="1:25" ht="15.75" customHeight="1">
      <c r="A878" s="33"/>
      <c r="B878" s="33"/>
      <c r="H878" s="33"/>
      <c r="I878" s="33"/>
      <c r="P878" s="33"/>
      <c r="Q878" s="33"/>
      <c r="X878" s="33"/>
      <c r="Y878" s="33"/>
    </row>
    <row r="879" spans="1:25" ht="15.75" customHeight="1">
      <c r="A879" s="33"/>
      <c r="B879" s="33"/>
      <c r="H879" s="33"/>
      <c r="I879" s="33"/>
      <c r="P879" s="33"/>
      <c r="Q879" s="33"/>
      <c r="X879" s="33"/>
      <c r="Y879" s="33"/>
    </row>
    <row r="880" spans="1:25" ht="15.75" customHeight="1">
      <c r="A880" s="33"/>
      <c r="B880" s="33"/>
      <c r="H880" s="33"/>
      <c r="I880" s="33"/>
      <c r="P880" s="33"/>
      <c r="Q880" s="33"/>
      <c r="X880" s="33"/>
      <c r="Y880" s="33"/>
    </row>
    <row r="881" spans="1:25" ht="15.75" customHeight="1">
      <c r="A881" s="33"/>
      <c r="B881" s="33"/>
      <c r="H881" s="33"/>
      <c r="I881" s="33"/>
      <c r="P881" s="33"/>
      <c r="Q881" s="33"/>
      <c r="X881" s="33"/>
      <c r="Y881" s="33"/>
    </row>
    <row r="882" spans="1:25" ht="15.75" customHeight="1">
      <c r="A882" s="33"/>
      <c r="B882" s="33"/>
      <c r="H882" s="33"/>
      <c r="I882" s="33"/>
      <c r="P882" s="33"/>
      <c r="Q882" s="33"/>
      <c r="X882" s="33"/>
      <c r="Y882" s="33"/>
    </row>
    <row r="883" spans="1:25" ht="15.75" customHeight="1">
      <c r="A883" s="33"/>
      <c r="B883" s="33"/>
      <c r="H883" s="33"/>
      <c r="I883" s="33"/>
      <c r="P883" s="33"/>
      <c r="Q883" s="33"/>
      <c r="X883" s="33"/>
      <c r="Y883" s="33"/>
    </row>
    <row r="884" spans="1:25" ht="15.75" customHeight="1">
      <c r="A884" s="33"/>
      <c r="B884" s="33"/>
      <c r="H884" s="33"/>
      <c r="I884" s="33"/>
      <c r="P884" s="33"/>
      <c r="Q884" s="33"/>
      <c r="X884" s="33"/>
      <c r="Y884" s="33"/>
    </row>
    <row r="885" spans="1:25" ht="15.75" customHeight="1">
      <c r="A885" s="33"/>
      <c r="B885" s="33"/>
      <c r="H885" s="33"/>
      <c r="I885" s="33"/>
      <c r="P885" s="33"/>
      <c r="Q885" s="33"/>
      <c r="X885" s="33"/>
      <c r="Y885" s="33"/>
    </row>
    <row r="886" spans="1:25" ht="15.75" customHeight="1">
      <c r="A886" s="33"/>
      <c r="B886" s="33"/>
      <c r="H886" s="33"/>
      <c r="I886" s="33"/>
      <c r="P886" s="33"/>
      <c r="Q886" s="33"/>
      <c r="X886" s="33"/>
      <c r="Y886" s="33"/>
    </row>
    <row r="887" spans="1:25" ht="15.75" customHeight="1">
      <c r="A887" s="33"/>
      <c r="B887" s="33"/>
      <c r="H887" s="33"/>
      <c r="I887" s="33"/>
      <c r="P887" s="33"/>
      <c r="Q887" s="33"/>
      <c r="X887" s="33"/>
      <c r="Y887" s="33"/>
    </row>
    <row r="888" spans="1:25" ht="15.75" customHeight="1">
      <c r="A888" s="33"/>
      <c r="B888" s="33"/>
      <c r="H888" s="33"/>
      <c r="I888" s="33"/>
      <c r="P888" s="33"/>
      <c r="Q888" s="33"/>
      <c r="X888" s="33"/>
      <c r="Y888" s="33"/>
    </row>
    <row r="889" spans="1:25" ht="15.75" customHeight="1">
      <c r="A889" s="33"/>
      <c r="B889" s="33"/>
      <c r="H889" s="33"/>
      <c r="I889" s="33"/>
      <c r="P889" s="33"/>
      <c r="Q889" s="33"/>
      <c r="X889" s="33"/>
      <c r="Y889" s="33"/>
    </row>
    <row r="890" spans="1:25" ht="15.75" customHeight="1">
      <c r="A890" s="33"/>
      <c r="B890" s="33"/>
      <c r="H890" s="33"/>
      <c r="I890" s="33"/>
      <c r="P890" s="33"/>
      <c r="Q890" s="33"/>
      <c r="X890" s="33"/>
      <c r="Y890" s="33"/>
    </row>
    <row r="891" spans="1:25" ht="15.75" customHeight="1">
      <c r="A891" s="33"/>
      <c r="B891" s="33"/>
      <c r="H891" s="33"/>
      <c r="I891" s="33"/>
      <c r="P891" s="33"/>
      <c r="Q891" s="33"/>
      <c r="X891" s="33"/>
      <c r="Y891" s="33"/>
    </row>
    <row r="892" spans="1:25" ht="15.75" customHeight="1">
      <c r="A892" s="33"/>
      <c r="B892" s="33"/>
      <c r="H892" s="33"/>
      <c r="I892" s="33"/>
      <c r="P892" s="33"/>
      <c r="Q892" s="33"/>
      <c r="X892" s="33"/>
      <c r="Y892" s="33"/>
    </row>
    <row r="893" spans="1:25" ht="15.75" customHeight="1">
      <c r="A893" s="33"/>
      <c r="B893" s="33"/>
      <c r="H893" s="33"/>
      <c r="I893" s="33"/>
      <c r="P893" s="33"/>
      <c r="Q893" s="33"/>
      <c r="X893" s="33"/>
      <c r="Y893" s="33"/>
    </row>
    <row r="894" spans="1:25" ht="15.75" customHeight="1">
      <c r="A894" s="33"/>
      <c r="B894" s="33"/>
      <c r="H894" s="33"/>
      <c r="I894" s="33"/>
      <c r="P894" s="33"/>
      <c r="Q894" s="33"/>
      <c r="X894" s="33"/>
      <c r="Y894" s="33"/>
    </row>
    <row r="895" spans="1:25" ht="15.75" customHeight="1">
      <c r="A895" s="33"/>
      <c r="B895" s="33"/>
      <c r="H895" s="33"/>
      <c r="I895" s="33"/>
      <c r="P895" s="33"/>
      <c r="Q895" s="33"/>
      <c r="X895" s="33"/>
      <c r="Y895" s="33"/>
    </row>
    <row r="896" spans="1:25" ht="15.75" customHeight="1">
      <c r="A896" s="33"/>
      <c r="B896" s="33"/>
      <c r="H896" s="33"/>
      <c r="I896" s="33"/>
      <c r="P896" s="33"/>
      <c r="Q896" s="33"/>
      <c r="X896" s="33"/>
      <c r="Y896" s="33"/>
    </row>
    <row r="897" spans="1:25" ht="15.75" customHeight="1">
      <c r="A897" s="33"/>
      <c r="B897" s="33"/>
      <c r="H897" s="33"/>
      <c r="I897" s="33"/>
      <c r="P897" s="33"/>
      <c r="Q897" s="33"/>
      <c r="X897" s="33"/>
      <c r="Y897" s="33"/>
    </row>
    <row r="898" spans="1:25" ht="15.75" customHeight="1">
      <c r="A898" s="33"/>
      <c r="B898" s="33"/>
      <c r="H898" s="33"/>
      <c r="I898" s="33"/>
      <c r="P898" s="33"/>
      <c r="Q898" s="33"/>
      <c r="X898" s="33"/>
      <c r="Y898" s="33"/>
    </row>
    <row r="899" spans="1:25" ht="15.75" customHeight="1">
      <c r="A899" s="33"/>
      <c r="B899" s="33"/>
      <c r="H899" s="33"/>
      <c r="I899" s="33"/>
      <c r="P899" s="33"/>
      <c r="Q899" s="33"/>
      <c r="X899" s="33"/>
      <c r="Y899" s="33"/>
    </row>
    <row r="900" spans="1:25" ht="15.75" customHeight="1">
      <c r="A900" s="33"/>
      <c r="B900" s="33"/>
      <c r="H900" s="33"/>
      <c r="I900" s="33"/>
      <c r="P900" s="33"/>
      <c r="Q900" s="33"/>
      <c r="X900" s="33"/>
      <c r="Y900" s="33"/>
    </row>
    <row r="901" spans="1:25" ht="15.75" customHeight="1">
      <c r="A901" s="33"/>
      <c r="B901" s="33"/>
      <c r="H901" s="33"/>
      <c r="I901" s="33"/>
      <c r="P901" s="33"/>
      <c r="Q901" s="33"/>
      <c r="X901" s="33"/>
      <c r="Y901" s="33"/>
    </row>
    <row r="902" spans="1:25" ht="15.75" customHeight="1">
      <c r="A902" s="33"/>
      <c r="B902" s="33"/>
      <c r="H902" s="33"/>
      <c r="I902" s="33"/>
      <c r="P902" s="33"/>
      <c r="Q902" s="33"/>
      <c r="X902" s="33"/>
      <c r="Y902" s="33"/>
    </row>
    <row r="903" spans="1:25" ht="15.75" customHeight="1">
      <c r="A903" s="33"/>
      <c r="B903" s="33"/>
      <c r="H903" s="33"/>
      <c r="I903" s="33"/>
      <c r="P903" s="33"/>
      <c r="Q903" s="33"/>
      <c r="X903" s="33"/>
      <c r="Y903" s="33"/>
    </row>
    <row r="904" spans="1:25" ht="15.75" customHeight="1">
      <c r="A904" s="33"/>
      <c r="B904" s="33"/>
      <c r="H904" s="33"/>
      <c r="I904" s="33"/>
      <c r="P904" s="33"/>
      <c r="Q904" s="33"/>
      <c r="X904" s="33"/>
      <c r="Y904" s="33"/>
    </row>
    <row r="905" spans="1:25" ht="15.75" customHeight="1">
      <c r="A905" s="33"/>
      <c r="B905" s="33"/>
      <c r="H905" s="33"/>
      <c r="I905" s="33"/>
      <c r="P905" s="33"/>
      <c r="Q905" s="33"/>
      <c r="X905" s="33"/>
      <c r="Y905" s="33"/>
    </row>
    <row r="906" spans="1:25" ht="15.75" customHeight="1">
      <c r="A906" s="33"/>
      <c r="B906" s="33"/>
      <c r="H906" s="33"/>
      <c r="I906" s="33"/>
      <c r="P906" s="33"/>
      <c r="Q906" s="33"/>
      <c r="X906" s="33"/>
      <c r="Y906" s="33"/>
    </row>
    <row r="907" spans="1:25" ht="15.75" customHeight="1">
      <c r="A907" s="33"/>
      <c r="B907" s="33"/>
      <c r="H907" s="33"/>
      <c r="I907" s="33"/>
      <c r="P907" s="33"/>
      <c r="Q907" s="33"/>
      <c r="X907" s="33"/>
      <c r="Y907" s="33"/>
    </row>
    <row r="908" spans="1:25" ht="15.75" customHeight="1">
      <c r="A908" s="33"/>
      <c r="B908" s="33"/>
      <c r="H908" s="33"/>
      <c r="I908" s="33"/>
      <c r="P908" s="33"/>
      <c r="Q908" s="33"/>
      <c r="X908" s="33"/>
      <c r="Y908" s="33"/>
    </row>
    <row r="909" spans="1:25" ht="15.75" customHeight="1">
      <c r="A909" s="33"/>
      <c r="B909" s="33"/>
      <c r="H909" s="33"/>
      <c r="I909" s="33"/>
      <c r="P909" s="33"/>
      <c r="Q909" s="33"/>
      <c r="X909" s="33"/>
      <c r="Y909" s="33"/>
    </row>
    <row r="910" spans="1:25" ht="15.75" customHeight="1">
      <c r="A910" s="33"/>
      <c r="B910" s="33"/>
      <c r="H910" s="33"/>
      <c r="I910" s="33"/>
      <c r="P910" s="33"/>
      <c r="Q910" s="33"/>
      <c r="X910" s="33"/>
      <c r="Y910" s="33"/>
    </row>
    <row r="911" spans="1:25" ht="15.75" customHeight="1">
      <c r="A911" s="33"/>
      <c r="B911" s="33"/>
      <c r="H911" s="33"/>
      <c r="I911" s="33"/>
      <c r="P911" s="33"/>
      <c r="Q911" s="33"/>
      <c r="X911" s="33"/>
      <c r="Y911" s="33"/>
    </row>
    <row r="912" spans="1:25" ht="15.75" customHeight="1">
      <c r="A912" s="33"/>
      <c r="B912" s="33"/>
      <c r="H912" s="33"/>
      <c r="I912" s="33"/>
      <c r="P912" s="33"/>
      <c r="Q912" s="33"/>
      <c r="X912" s="33"/>
      <c r="Y912" s="33"/>
    </row>
    <row r="913" spans="1:25" ht="15.75" customHeight="1">
      <c r="A913" s="33"/>
      <c r="B913" s="33"/>
      <c r="H913" s="33"/>
      <c r="I913" s="33"/>
      <c r="P913" s="33"/>
      <c r="Q913" s="33"/>
      <c r="X913" s="33"/>
      <c r="Y913" s="33"/>
    </row>
    <row r="914" spans="1:25" ht="15.75" customHeight="1">
      <c r="A914" s="33"/>
      <c r="B914" s="33"/>
      <c r="H914" s="33"/>
      <c r="I914" s="33"/>
      <c r="P914" s="33"/>
      <c r="Q914" s="33"/>
      <c r="X914" s="33"/>
      <c r="Y914" s="33"/>
    </row>
    <row r="915" spans="1:25" ht="15.75" customHeight="1">
      <c r="A915" s="33"/>
      <c r="B915" s="33"/>
      <c r="H915" s="33"/>
      <c r="I915" s="33"/>
      <c r="P915" s="33"/>
      <c r="Q915" s="33"/>
      <c r="X915" s="33"/>
      <c r="Y915" s="33"/>
    </row>
    <row r="916" spans="1:25" ht="15.75" customHeight="1">
      <c r="A916" s="33"/>
      <c r="B916" s="33"/>
      <c r="H916" s="33"/>
      <c r="I916" s="33"/>
      <c r="P916" s="33"/>
      <c r="Q916" s="33"/>
      <c r="X916" s="33"/>
      <c r="Y916" s="33"/>
    </row>
    <row r="917" spans="1:25" ht="15.75" customHeight="1">
      <c r="A917" s="33"/>
      <c r="B917" s="33"/>
      <c r="H917" s="33"/>
      <c r="I917" s="33"/>
      <c r="P917" s="33"/>
      <c r="Q917" s="33"/>
      <c r="X917" s="33"/>
      <c r="Y917" s="33"/>
    </row>
    <row r="918" spans="1:25" ht="15.75" customHeight="1">
      <c r="A918" s="33"/>
      <c r="B918" s="33"/>
      <c r="H918" s="33"/>
      <c r="I918" s="33"/>
      <c r="P918" s="33"/>
      <c r="Q918" s="33"/>
      <c r="X918" s="33"/>
      <c r="Y918" s="33"/>
    </row>
    <row r="919" spans="1:25" ht="15.75" customHeight="1">
      <c r="A919" s="33"/>
      <c r="B919" s="33"/>
      <c r="H919" s="33"/>
      <c r="I919" s="33"/>
      <c r="P919" s="33"/>
      <c r="Q919" s="33"/>
      <c r="X919" s="33"/>
      <c r="Y919" s="33"/>
    </row>
    <row r="920" spans="1:25" ht="15.75" customHeight="1">
      <c r="A920" s="33"/>
      <c r="B920" s="33"/>
      <c r="H920" s="33"/>
      <c r="I920" s="33"/>
      <c r="P920" s="33"/>
      <c r="Q920" s="33"/>
      <c r="X920" s="33"/>
      <c r="Y920" s="33"/>
    </row>
    <row r="921" spans="1:25" ht="15.75" customHeight="1">
      <c r="A921" s="33"/>
      <c r="B921" s="33"/>
      <c r="H921" s="33"/>
      <c r="I921" s="33"/>
      <c r="P921" s="33"/>
      <c r="Q921" s="33"/>
      <c r="X921" s="33"/>
      <c r="Y921" s="33"/>
    </row>
    <row r="922" spans="1:25" ht="15.75" customHeight="1">
      <c r="A922" s="33"/>
      <c r="B922" s="33"/>
      <c r="H922" s="33"/>
      <c r="I922" s="33"/>
      <c r="P922" s="33"/>
      <c r="Q922" s="33"/>
      <c r="X922" s="33"/>
      <c r="Y922" s="33"/>
    </row>
    <row r="923" spans="1:25" ht="15.75" customHeight="1">
      <c r="A923" s="33"/>
      <c r="B923" s="33"/>
      <c r="H923" s="33"/>
      <c r="I923" s="33"/>
      <c r="P923" s="33"/>
      <c r="Q923" s="33"/>
      <c r="X923" s="33"/>
      <c r="Y923" s="33"/>
    </row>
    <row r="924" spans="1:25" ht="15.75" customHeight="1">
      <c r="A924" s="33"/>
      <c r="B924" s="33"/>
      <c r="H924" s="33"/>
      <c r="I924" s="33"/>
      <c r="P924" s="33"/>
      <c r="Q924" s="33"/>
      <c r="X924" s="33"/>
      <c r="Y924" s="33"/>
    </row>
    <row r="925" spans="1:25" ht="15.75" customHeight="1">
      <c r="A925" s="33"/>
      <c r="B925" s="33"/>
      <c r="H925" s="33"/>
      <c r="I925" s="33"/>
      <c r="P925" s="33"/>
      <c r="Q925" s="33"/>
      <c r="X925" s="33"/>
      <c r="Y925" s="33"/>
    </row>
    <row r="926" spans="1:25" ht="15.75" customHeight="1">
      <c r="A926" s="33"/>
      <c r="B926" s="33"/>
      <c r="H926" s="33"/>
      <c r="I926" s="33"/>
      <c r="P926" s="33"/>
      <c r="Q926" s="33"/>
      <c r="X926" s="33"/>
      <c r="Y926" s="33"/>
    </row>
    <row r="927" spans="1:25" ht="15.75" customHeight="1">
      <c r="A927" s="33"/>
      <c r="B927" s="33"/>
      <c r="H927" s="33"/>
      <c r="I927" s="33"/>
      <c r="P927" s="33"/>
      <c r="Q927" s="33"/>
      <c r="X927" s="33"/>
      <c r="Y927" s="33"/>
    </row>
    <row r="928" spans="1:25" ht="15.75" customHeight="1">
      <c r="A928" s="33"/>
      <c r="B928" s="33"/>
      <c r="H928" s="33"/>
      <c r="I928" s="33"/>
      <c r="P928" s="33"/>
      <c r="Q928" s="33"/>
      <c r="X928" s="33"/>
      <c r="Y928" s="33"/>
    </row>
    <row r="929" spans="1:25" ht="15.75" customHeight="1">
      <c r="A929" s="33"/>
      <c r="B929" s="33"/>
      <c r="H929" s="33"/>
      <c r="I929" s="33"/>
      <c r="P929" s="33"/>
      <c r="Q929" s="33"/>
      <c r="X929" s="33"/>
      <c r="Y929" s="33"/>
    </row>
    <row r="930" spans="1:25" ht="15.75" customHeight="1">
      <c r="A930" s="33"/>
      <c r="B930" s="33"/>
      <c r="H930" s="33"/>
      <c r="I930" s="33"/>
      <c r="P930" s="33"/>
      <c r="Q930" s="33"/>
      <c r="X930" s="33"/>
      <c r="Y930" s="33"/>
    </row>
    <row r="931" spans="1:25" ht="15.75" customHeight="1">
      <c r="A931" s="33"/>
      <c r="B931" s="33"/>
      <c r="H931" s="33"/>
      <c r="I931" s="33"/>
      <c r="P931" s="33"/>
      <c r="Q931" s="33"/>
      <c r="X931" s="33"/>
      <c r="Y931" s="33"/>
    </row>
    <row r="932" spans="1:25" ht="15.75" customHeight="1">
      <c r="A932" s="33"/>
      <c r="B932" s="33"/>
      <c r="H932" s="33"/>
      <c r="I932" s="33"/>
      <c r="P932" s="33"/>
      <c r="Q932" s="33"/>
      <c r="X932" s="33"/>
      <c r="Y932" s="33"/>
    </row>
    <row r="933" spans="1:25" ht="15.75" customHeight="1">
      <c r="A933" s="33"/>
      <c r="B933" s="33"/>
      <c r="H933" s="33"/>
      <c r="I933" s="33"/>
      <c r="P933" s="33"/>
      <c r="Q933" s="33"/>
      <c r="X933" s="33"/>
      <c r="Y933" s="33"/>
    </row>
    <row r="934" spans="1:25" ht="15.75" customHeight="1">
      <c r="A934" s="33"/>
      <c r="B934" s="33"/>
      <c r="H934" s="33"/>
      <c r="I934" s="33"/>
      <c r="P934" s="33"/>
      <c r="Q934" s="33"/>
      <c r="X934" s="33"/>
      <c r="Y934" s="33"/>
    </row>
    <row r="935" spans="1:25" ht="15.75" customHeight="1">
      <c r="A935" s="33"/>
      <c r="B935" s="33"/>
      <c r="H935" s="33"/>
      <c r="I935" s="33"/>
      <c r="P935" s="33"/>
      <c r="Q935" s="33"/>
      <c r="X935" s="33"/>
      <c r="Y935" s="33"/>
    </row>
    <row r="936" spans="1:25" ht="15.75" customHeight="1">
      <c r="A936" s="33"/>
      <c r="B936" s="33"/>
      <c r="H936" s="33"/>
      <c r="I936" s="33"/>
      <c r="P936" s="33"/>
      <c r="Q936" s="33"/>
      <c r="X936" s="33"/>
      <c r="Y936" s="33"/>
    </row>
    <row r="937" spans="1:25" ht="15.75" customHeight="1">
      <c r="A937" s="33"/>
      <c r="B937" s="33"/>
      <c r="H937" s="33"/>
      <c r="I937" s="33"/>
      <c r="P937" s="33"/>
      <c r="Q937" s="33"/>
      <c r="X937" s="33"/>
      <c r="Y937" s="33"/>
    </row>
    <row r="938" spans="1:25" ht="15.75" customHeight="1">
      <c r="A938" s="33"/>
      <c r="B938" s="33"/>
      <c r="H938" s="33"/>
      <c r="I938" s="33"/>
      <c r="P938" s="33"/>
      <c r="Q938" s="33"/>
      <c r="X938" s="33"/>
      <c r="Y938" s="33"/>
    </row>
    <row r="939" spans="1:25" ht="15.75" customHeight="1">
      <c r="A939" s="33"/>
      <c r="B939" s="33"/>
      <c r="H939" s="33"/>
      <c r="I939" s="33"/>
      <c r="P939" s="33"/>
      <c r="Q939" s="33"/>
      <c r="X939" s="33"/>
      <c r="Y939" s="33"/>
    </row>
    <row r="940" spans="1:25" ht="15.75" customHeight="1">
      <c r="A940" s="33"/>
      <c r="B940" s="33"/>
      <c r="H940" s="33"/>
      <c r="I940" s="33"/>
      <c r="P940" s="33"/>
      <c r="Q940" s="33"/>
      <c r="X940" s="33"/>
      <c r="Y940" s="33"/>
    </row>
    <row r="941" spans="1:25" ht="15.75" customHeight="1">
      <c r="A941" s="33"/>
      <c r="B941" s="33"/>
      <c r="H941" s="33"/>
      <c r="I941" s="33"/>
      <c r="P941" s="33"/>
      <c r="Q941" s="33"/>
      <c r="X941" s="33"/>
      <c r="Y941" s="33"/>
    </row>
    <row r="942" spans="1:25" ht="15.75" customHeight="1">
      <c r="A942" s="33"/>
      <c r="B942" s="33"/>
      <c r="H942" s="33"/>
      <c r="I942" s="33"/>
      <c r="P942" s="33"/>
      <c r="Q942" s="33"/>
      <c r="X942" s="33"/>
      <c r="Y942" s="33"/>
    </row>
    <row r="943" spans="1:25" ht="15.75" customHeight="1">
      <c r="A943" s="33"/>
      <c r="B943" s="33"/>
      <c r="H943" s="33"/>
      <c r="I943" s="33"/>
      <c r="P943" s="33"/>
      <c r="Q943" s="33"/>
      <c r="X943" s="33"/>
      <c r="Y943" s="33"/>
    </row>
    <row r="944" spans="1:25" ht="15.75" customHeight="1">
      <c r="A944" s="33"/>
      <c r="B944" s="33"/>
      <c r="H944" s="33"/>
      <c r="I944" s="33"/>
      <c r="P944" s="33"/>
      <c r="Q944" s="33"/>
      <c r="X944" s="33"/>
      <c r="Y944" s="33"/>
    </row>
    <row r="945" spans="1:25" ht="15.75" customHeight="1">
      <c r="A945" s="33"/>
      <c r="B945" s="33"/>
      <c r="H945" s="33"/>
      <c r="I945" s="33"/>
      <c r="P945" s="33"/>
      <c r="Q945" s="33"/>
      <c r="X945" s="33"/>
      <c r="Y945" s="33"/>
    </row>
    <row r="946" spans="1:25" ht="15.75" customHeight="1">
      <c r="A946" s="33"/>
      <c r="B946" s="33"/>
      <c r="H946" s="33"/>
      <c r="I946" s="33"/>
      <c r="P946" s="33"/>
      <c r="Q946" s="33"/>
      <c r="X946" s="33"/>
      <c r="Y946" s="33"/>
    </row>
    <row r="947" spans="1:25" ht="15.75" customHeight="1">
      <c r="A947" s="33"/>
      <c r="B947" s="33"/>
      <c r="H947" s="33"/>
      <c r="I947" s="33"/>
      <c r="P947" s="33"/>
      <c r="Q947" s="33"/>
      <c r="X947" s="33"/>
      <c r="Y947" s="33"/>
    </row>
    <row r="948" spans="1:25" ht="15.75" customHeight="1">
      <c r="A948" s="33"/>
      <c r="B948" s="33"/>
      <c r="H948" s="33"/>
      <c r="I948" s="33"/>
      <c r="P948" s="33"/>
      <c r="Q948" s="33"/>
      <c r="X948" s="33"/>
      <c r="Y948" s="33"/>
    </row>
    <row r="949" spans="1:25" ht="15.75" customHeight="1">
      <c r="A949" s="33"/>
      <c r="B949" s="33"/>
      <c r="H949" s="33"/>
      <c r="I949" s="33"/>
      <c r="P949" s="33"/>
      <c r="Q949" s="33"/>
      <c r="X949" s="33"/>
      <c r="Y949" s="33"/>
    </row>
    <row r="950" spans="1:25" ht="15.75" customHeight="1">
      <c r="A950" s="33"/>
      <c r="B950" s="33"/>
      <c r="H950" s="33"/>
      <c r="I950" s="33"/>
      <c r="P950" s="33"/>
      <c r="Q950" s="33"/>
      <c r="X950" s="33"/>
      <c r="Y950" s="33"/>
    </row>
    <row r="951" spans="1:25" ht="15.75" customHeight="1">
      <c r="A951" s="33"/>
      <c r="B951" s="33"/>
      <c r="H951" s="33"/>
      <c r="I951" s="33"/>
      <c r="P951" s="33"/>
      <c r="Q951" s="33"/>
      <c r="X951" s="33"/>
      <c r="Y951" s="33"/>
    </row>
    <row r="952" spans="1:25" ht="15.75" customHeight="1">
      <c r="A952" s="33"/>
      <c r="B952" s="33"/>
      <c r="H952" s="33"/>
      <c r="I952" s="33"/>
      <c r="P952" s="33"/>
      <c r="Q952" s="33"/>
      <c r="X952" s="33"/>
      <c r="Y952" s="33"/>
    </row>
    <row r="953" spans="1:25" ht="15.75" customHeight="1">
      <c r="A953" s="33"/>
      <c r="B953" s="33"/>
      <c r="H953" s="33"/>
      <c r="I953" s="33"/>
      <c r="P953" s="33"/>
      <c r="Q953" s="33"/>
      <c r="X953" s="33"/>
      <c r="Y953" s="33"/>
    </row>
    <row r="954" spans="1:25" ht="15.75" customHeight="1">
      <c r="A954" s="33"/>
      <c r="B954" s="33"/>
      <c r="H954" s="33"/>
      <c r="I954" s="33"/>
      <c r="P954" s="33"/>
      <c r="Q954" s="33"/>
      <c r="X954" s="33"/>
      <c r="Y954" s="33"/>
    </row>
    <row r="955" spans="1:25" ht="15.75" customHeight="1">
      <c r="A955" s="33"/>
      <c r="B955" s="33"/>
      <c r="H955" s="33"/>
      <c r="I955" s="33"/>
      <c r="P955" s="33"/>
      <c r="Q955" s="33"/>
      <c r="X955" s="33"/>
      <c r="Y955" s="33"/>
    </row>
    <row r="956" spans="1:25" ht="15.75" customHeight="1">
      <c r="A956" s="33"/>
      <c r="B956" s="33"/>
      <c r="H956" s="33"/>
      <c r="I956" s="33"/>
      <c r="P956" s="33"/>
      <c r="Q956" s="33"/>
      <c r="X956" s="33"/>
      <c r="Y956" s="33"/>
    </row>
    <row r="957" spans="1:25" ht="15.75" customHeight="1">
      <c r="A957" s="33"/>
      <c r="B957" s="33"/>
      <c r="H957" s="33"/>
      <c r="I957" s="33"/>
      <c r="P957" s="33"/>
      <c r="Q957" s="33"/>
      <c r="X957" s="33"/>
      <c r="Y957" s="33"/>
    </row>
    <row r="958" spans="1:25" ht="15.75" customHeight="1">
      <c r="A958" s="33"/>
      <c r="B958" s="33"/>
      <c r="H958" s="33"/>
      <c r="I958" s="33"/>
      <c r="P958" s="33"/>
      <c r="Q958" s="33"/>
      <c r="X958" s="33"/>
      <c r="Y958" s="33"/>
    </row>
    <row r="959" spans="1:25" ht="15.75" customHeight="1">
      <c r="A959" s="33"/>
      <c r="B959" s="33"/>
      <c r="H959" s="33"/>
      <c r="I959" s="33"/>
      <c r="P959" s="33"/>
      <c r="Q959" s="33"/>
      <c r="X959" s="33"/>
      <c r="Y959" s="33"/>
    </row>
    <row r="960" spans="1:25" ht="15.75" customHeight="1">
      <c r="A960" s="33"/>
      <c r="B960" s="33"/>
      <c r="H960" s="33"/>
      <c r="I960" s="33"/>
      <c r="P960" s="33"/>
      <c r="Q960" s="33"/>
      <c r="X960" s="33"/>
      <c r="Y960" s="33"/>
    </row>
    <row r="961" spans="1:25" ht="15.75" customHeight="1">
      <c r="A961" s="33"/>
      <c r="B961" s="33"/>
      <c r="H961" s="33"/>
      <c r="I961" s="33"/>
      <c r="P961" s="33"/>
      <c r="Q961" s="33"/>
      <c r="X961" s="33"/>
      <c r="Y961" s="33"/>
    </row>
    <row r="962" spans="1:25" ht="15.75" customHeight="1">
      <c r="A962" s="33"/>
      <c r="B962" s="33"/>
      <c r="H962" s="33"/>
      <c r="I962" s="33"/>
      <c r="P962" s="33"/>
      <c r="Q962" s="33"/>
      <c r="X962" s="33"/>
      <c r="Y962" s="33"/>
    </row>
    <row r="963" spans="1:25" ht="15.75" customHeight="1">
      <c r="A963" s="33"/>
      <c r="B963" s="33"/>
      <c r="H963" s="33"/>
      <c r="I963" s="33"/>
      <c r="P963" s="33"/>
      <c r="Q963" s="33"/>
      <c r="X963" s="33"/>
      <c r="Y963" s="33"/>
    </row>
    <row r="964" spans="1:25" ht="15.75" customHeight="1">
      <c r="A964" s="33"/>
      <c r="B964" s="33"/>
      <c r="H964" s="33"/>
      <c r="I964" s="33"/>
      <c r="P964" s="33"/>
      <c r="Q964" s="33"/>
      <c r="X964" s="33"/>
      <c r="Y964" s="33"/>
    </row>
    <row r="965" spans="1:25" ht="15.75" customHeight="1">
      <c r="A965" s="33"/>
      <c r="B965" s="33"/>
      <c r="H965" s="33"/>
      <c r="I965" s="33"/>
      <c r="P965" s="33"/>
      <c r="Q965" s="33"/>
      <c r="X965" s="33"/>
      <c r="Y965" s="33"/>
    </row>
    <row r="966" spans="1:25" ht="15.75" customHeight="1">
      <c r="A966" s="33"/>
      <c r="B966" s="33"/>
      <c r="H966" s="33"/>
      <c r="I966" s="33"/>
      <c r="P966" s="33"/>
      <c r="Q966" s="33"/>
      <c r="X966" s="33"/>
      <c r="Y966" s="33"/>
    </row>
    <row r="967" spans="1:25" ht="15.75" customHeight="1">
      <c r="A967" s="33"/>
      <c r="B967" s="33"/>
      <c r="H967" s="33"/>
      <c r="I967" s="33"/>
      <c r="P967" s="33"/>
      <c r="Q967" s="33"/>
      <c r="X967" s="33"/>
      <c r="Y967" s="33"/>
    </row>
    <row r="968" spans="1:25" ht="15.75" customHeight="1">
      <c r="A968" s="33"/>
      <c r="B968" s="33"/>
      <c r="H968" s="33"/>
      <c r="I968" s="33"/>
      <c r="P968" s="33"/>
      <c r="Q968" s="33"/>
      <c r="X968" s="33"/>
      <c r="Y968" s="33"/>
    </row>
    <row r="969" spans="1:25" ht="15.75" customHeight="1">
      <c r="A969" s="33"/>
      <c r="B969" s="33"/>
      <c r="H969" s="33"/>
      <c r="I969" s="33"/>
      <c r="P969" s="33"/>
      <c r="Q969" s="33"/>
      <c r="X969" s="33"/>
      <c r="Y969" s="33"/>
    </row>
    <row r="970" spans="1:25" ht="15.75" customHeight="1">
      <c r="A970" s="33"/>
      <c r="B970" s="33"/>
      <c r="H970" s="33"/>
      <c r="I970" s="33"/>
      <c r="P970" s="33"/>
      <c r="Q970" s="33"/>
      <c r="X970" s="33"/>
      <c r="Y970" s="33"/>
    </row>
    <row r="971" spans="1:25" ht="15.75" customHeight="1">
      <c r="A971" s="33"/>
      <c r="B971" s="33"/>
      <c r="H971" s="33"/>
      <c r="I971" s="33"/>
      <c r="P971" s="33"/>
      <c r="Q971" s="33"/>
      <c r="X971" s="33"/>
      <c r="Y971" s="33"/>
    </row>
    <row r="972" spans="1:25" ht="15.75" customHeight="1">
      <c r="A972" s="33"/>
      <c r="B972" s="33"/>
      <c r="H972" s="33"/>
      <c r="I972" s="33"/>
      <c r="P972" s="33"/>
      <c r="Q972" s="33"/>
      <c r="X972" s="33"/>
      <c r="Y972" s="33"/>
    </row>
    <row r="973" spans="1:25" ht="15.75" customHeight="1">
      <c r="A973" s="33"/>
      <c r="B973" s="33"/>
      <c r="H973" s="33"/>
      <c r="I973" s="33"/>
      <c r="P973" s="33"/>
      <c r="Q973" s="33"/>
      <c r="X973" s="33"/>
      <c r="Y973" s="33"/>
    </row>
    <row r="974" spans="1:25" ht="15.75" customHeight="1">
      <c r="A974" s="33"/>
      <c r="B974" s="33"/>
      <c r="H974" s="33"/>
      <c r="I974" s="33"/>
      <c r="P974" s="33"/>
      <c r="Q974" s="33"/>
      <c r="X974" s="33"/>
      <c r="Y974" s="33"/>
    </row>
    <row r="975" spans="1:25" ht="15.75" customHeight="1">
      <c r="A975" s="33"/>
      <c r="B975" s="33"/>
      <c r="H975" s="33"/>
      <c r="I975" s="33"/>
      <c r="P975" s="33"/>
      <c r="Q975" s="33"/>
      <c r="X975" s="33"/>
      <c r="Y975" s="33"/>
    </row>
    <row r="976" spans="1:25" ht="15.75" customHeight="1">
      <c r="A976" s="33"/>
      <c r="B976" s="33"/>
      <c r="H976" s="33"/>
      <c r="I976" s="33"/>
      <c r="P976" s="33"/>
      <c r="Q976" s="33"/>
      <c r="X976" s="33"/>
      <c r="Y976" s="33"/>
    </row>
    <row r="977" spans="1:25" ht="15.75" customHeight="1">
      <c r="A977" s="33"/>
      <c r="B977" s="33"/>
      <c r="H977" s="33"/>
      <c r="I977" s="33"/>
      <c r="P977" s="33"/>
      <c r="Q977" s="33"/>
      <c r="X977" s="33"/>
      <c r="Y977" s="33"/>
    </row>
    <row r="978" spans="1:25" ht="15.75" customHeight="1">
      <c r="A978" s="33"/>
      <c r="B978" s="33"/>
      <c r="H978" s="33"/>
      <c r="I978" s="33"/>
      <c r="P978" s="33"/>
      <c r="Q978" s="33"/>
      <c r="X978" s="33"/>
      <c r="Y978" s="33"/>
    </row>
    <row r="979" spans="1:25" ht="15.75" customHeight="1">
      <c r="A979" s="33"/>
      <c r="B979" s="33"/>
      <c r="H979" s="33"/>
      <c r="I979" s="33"/>
      <c r="P979" s="33"/>
      <c r="Q979" s="33"/>
      <c r="X979" s="33"/>
      <c r="Y979" s="33"/>
    </row>
    <row r="980" spans="1:25" ht="15.75" customHeight="1">
      <c r="A980" s="33"/>
      <c r="B980" s="33"/>
      <c r="H980" s="33"/>
      <c r="I980" s="33"/>
      <c r="P980" s="33"/>
      <c r="Q980" s="33"/>
      <c r="X980" s="33"/>
      <c r="Y980" s="33"/>
    </row>
    <row r="981" spans="1:25" ht="15.75" customHeight="1">
      <c r="A981" s="33"/>
      <c r="B981" s="33"/>
      <c r="H981" s="33"/>
      <c r="I981" s="33"/>
      <c r="P981" s="33"/>
      <c r="Q981" s="33"/>
      <c r="X981" s="33"/>
      <c r="Y981" s="33"/>
    </row>
    <row r="982" spans="1:25" ht="15.75" customHeight="1">
      <c r="A982" s="33"/>
      <c r="B982" s="33"/>
      <c r="H982" s="33"/>
      <c r="I982" s="33"/>
      <c r="P982" s="33"/>
      <c r="Q982" s="33"/>
      <c r="X982" s="33"/>
      <c r="Y982" s="33"/>
    </row>
    <row r="983" spans="1:25" ht="15.75" customHeight="1">
      <c r="A983" s="33"/>
      <c r="B983" s="33"/>
      <c r="H983" s="33"/>
      <c r="I983" s="33"/>
      <c r="P983" s="33"/>
      <c r="Q983" s="33"/>
      <c r="X983" s="33"/>
      <c r="Y983" s="33"/>
    </row>
    <row r="984" spans="1:25" ht="15.75" customHeight="1">
      <c r="A984" s="33"/>
      <c r="B984" s="33"/>
      <c r="H984" s="33"/>
      <c r="I984" s="33"/>
      <c r="P984" s="33"/>
      <c r="Q984" s="33"/>
      <c r="X984" s="33"/>
      <c r="Y984" s="33"/>
    </row>
    <row r="985" spans="1:25" ht="15.75" customHeight="1">
      <c r="A985" s="33"/>
      <c r="B985" s="33"/>
      <c r="H985" s="33"/>
      <c r="I985" s="33"/>
      <c r="P985" s="33"/>
      <c r="Q985" s="33"/>
      <c r="X985" s="33"/>
      <c r="Y985" s="33"/>
    </row>
    <row r="986" spans="1:25" ht="15.75" customHeight="1">
      <c r="A986" s="33"/>
      <c r="B986" s="33"/>
      <c r="H986" s="33"/>
      <c r="I986" s="33"/>
      <c r="P986" s="33"/>
      <c r="Q986" s="33"/>
      <c r="X986" s="33"/>
      <c r="Y986" s="33"/>
    </row>
    <row r="987" spans="1:25" ht="15.75" customHeight="1">
      <c r="A987" s="33"/>
      <c r="B987" s="33"/>
      <c r="H987" s="33"/>
      <c r="I987" s="33"/>
      <c r="P987" s="33"/>
      <c r="Q987" s="33"/>
      <c r="X987" s="33"/>
      <c r="Y987" s="33"/>
    </row>
    <row r="988" spans="1:25" ht="15.75" customHeight="1">
      <c r="A988" s="33"/>
      <c r="B988" s="33"/>
      <c r="H988" s="33"/>
      <c r="I988" s="33"/>
      <c r="P988" s="33"/>
      <c r="Q988" s="33"/>
      <c r="X988" s="33"/>
      <c r="Y988" s="33"/>
    </row>
    <row r="989" spans="1:25" ht="15.75" customHeight="1">
      <c r="A989" s="33"/>
      <c r="B989" s="33"/>
      <c r="H989" s="33"/>
      <c r="I989" s="33"/>
      <c r="P989" s="33"/>
      <c r="Q989" s="33"/>
      <c r="X989" s="33"/>
      <c r="Y989" s="33"/>
    </row>
    <row r="990" spans="1:25" ht="15.75" customHeight="1">
      <c r="A990" s="33"/>
      <c r="B990" s="33"/>
      <c r="H990" s="33"/>
      <c r="I990" s="33"/>
      <c r="P990" s="33"/>
      <c r="Q990" s="33"/>
      <c r="X990" s="33"/>
      <c r="Y990" s="33"/>
    </row>
    <row r="991" spans="1:25" ht="15.75" customHeight="1">
      <c r="A991" s="33"/>
      <c r="B991" s="33"/>
      <c r="H991" s="33"/>
      <c r="I991" s="33"/>
      <c r="P991" s="33"/>
      <c r="Q991" s="33"/>
      <c r="X991" s="33"/>
      <c r="Y991" s="33"/>
    </row>
    <row r="992" spans="1:25" ht="15.75" customHeight="1">
      <c r="A992" s="33"/>
      <c r="B992" s="33"/>
      <c r="H992" s="33"/>
      <c r="I992" s="33"/>
      <c r="P992" s="33"/>
      <c r="Q992" s="33"/>
      <c r="X992" s="33"/>
      <c r="Y992" s="33"/>
    </row>
    <row r="993" spans="1:25" ht="15.75" customHeight="1">
      <c r="A993" s="33"/>
      <c r="B993" s="33"/>
      <c r="H993" s="33"/>
      <c r="I993" s="33"/>
      <c r="P993" s="33"/>
      <c r="Q993" s="33"/>
      <c r="X993" s="33"/>
      <c r="Y993" s="33"/>
    </row>
    <row r="994" spans="1:25" ht="15.75" customHeight="1">
      <c r="A994" s="33"/>
      <c r="B994" s="33"/>
      <c r="H994" s="33"/>
      <c r="I994" s="33"/>
      <c r="P994" s="33"/>
      <c r="Q994" s="33"/>
      <c r="X994" s="33"/>
      <c r="Y994" s="33"/>
    </row>
    <row r="995" spans="1:25" ht="15.75" customHeight="1">
      <c r="A995" s="33"/>
      <c r="B995" s="33"/>
      <c r="H995" s="33"/>
      <c r="I995" s="33"/>
      <c r="P995" s="33"/>
      <c r="Q995" s="33"/>
      <c r="X995" s="33"/>
      <c r="Y995" s="33"/>
    </row>
    <row r="996" spans="1:25" ht="15.75" customHeight="1">
      <c r="A996" s="33"/>
      <c r="B996" s="33"/>
      <c r="H996" s="33"/>
      <c r="I996" s="33"/>
      <c r="P996" s="33"/>
      <c r="Q996" s="33"/>
      <c r="X996" s="33"/>
      <c r="Y996" s="33"/>
    </row>
    <row r="997" spans="1:25" ht="15.75" customHeight="1">
      <c r="A997" s="33"/>
      <c r="B997" s="33"/>
      <c r="H997" s="33"/>
      <c r="I997" s="33"/>
      <c r="P997" s="33"/>
      <c r="Q997" s="33"/>
      <c r="X997" s="33"/>
      <c r="Y997" s="33"/>
    </row>
    <row r="998" spans="1:25" ht="15.75" customHeight="1">
      <c r="A998" s="33"/>
      <c r="B998" s="33"/>
      <c r="H998" s="33"/>
      <c r="I998" s="33"/>
      <c r="P998" s="33"/>
      <c r="Q998" s="33"/>
      <c r="X998" s="33"/>
      <c r="Y998" s="33"/>
    </row>
    <row r="999" spans="1:25" ht="15.75" customHeight="1">
      <c r="A999" s="33"/>
      <c r="B999" s="33"/>
      <c r="H999" s="33"/>
      <c r="I999" s="33"/>
      <c r="P999" s="33"/>
      <c r="Q999" s="33"/>
      <c r="X999" s="33"/>
      <c r="Y999" s="33"/>
    </row>
    <row r="1000" spans="1:25" ht="15.75" customHeight="1">
      <c r="A1000" s="33"/>
      <c r="B1000" s="33"/>
      <c r="H1000" s="33"/>
      <c r="I1000" s="33"/>
      <c r="P1000" s="33"/>
      <c r="Q1000" s="33"/>
      <c r="X1000" s="33"/>
      <c r="Y1000" s="33"/>
    </row>
  </sheetData>
  <mergeCells count="3992">
    <mergeCell ref="X737:Y737"/>
    <mergeCell ref="X738:Y738"/>
    <mergeCell ref="X739:Y739"/>
    <mergeCell ref="X740:Y740"/>
    <mergeCell ref="X741:Y741"/>
    <mergeCell ref="X742:Y742"/>
    <mergeCell ref="X743:Y743"/>
    <mergeCell ref="X744:Y744"/>
    <mergeCell ref="X745:Y745"/>
    <mergeCell ref="C3:F3"/>
    <mergeCell ref="R3:V3"/>
    <mergeCell ref="Z3:AC3"/>
    <mergeCell ref="X720:Y720"/>
    <mergeCell ref="X721:Y721"/>
    <mergeCell ref="X722:Y722"/>
    <mergeCell ref="X723:Y723"/>
    <mergeCell ref="X724:Y724"/>
    <mergeCell ref="X725:Y725"/>
    <mergeCell ref="X726:Y726"/>
    <mergeCell ref="X727:Y727"/>
    <mergeCell ref="X728:Y728"/>
    <mergeCell ref="X729:Y729"/>
    <mergeCell ref="X730:Y730"/>
    <mergeCell ref="X731:Y731"/>
    <mergeCell ref="X732:Y732"/>
    <mergeCell ref="X733:Y733"/>
    <mergeCell ref="X734:Y734"/>
    <mergeCell ref="X735:Y735"/>
    <mergeCell ref="X736:Y736"/>
    <mergeCell ref="X753:Y753"/>
    <mergeCell ref="X754:Y754"/>
    <mergeCell ref="X746:Y746"/>
    <mergeCell ref="X747:Y747"/>
    <mergeCell ref="X748:Y748"/>
    <mergeCell ref="X749:Y749"/>
    <mergeCell ref="X750:Y750"/>
    <mergeCell ref="X751:Y751"/>
    <mergeCell ref="X752:Y752"/>
    <mergeCell ref="X697:Y697"/>
    <mergeCell ref="X698:Y698"/>
    <mergeCell ref="X699:Y699"/>
    <mergeCell ref="X700:Y700"/>
    <mergeCell ref="X701:Y701"/>
    <mergeCell ref="X702:Y702"/>
    <mergeCell ref="X703:Y703"/>
    <mergeCell ref="X704:Y704"/>
    <mergeCell ref="X705:Y705"/>
    <mergeCell ref="X706:Y706"/>
    <mergeCell ref="X707:Y707"/>
    <mergeCell ref="X708:Y708"/>
    <mergeCell ref="X709:Y709"/>
    <mergeCell ref="X710:Y710"/>
    <mergeCell ref="X711:Y711"/>
    <mergeCell ref="X712:Y712"/>
    <mergeCell ref="X713:Y713"/>
    <mergeCell ref="X714:Y714"/>
    <mergeCell ref="X715:Y715"/>
    <mergeCell ref="X716:Y716"/>
    <mergeCell ref="X717:Y717"/>
    <mergeCell ref="X718:Y718"/>
    <mergeCell ref="X719:Y719"/>
    <mergeCell ref="P449:Q449"/>
    <mergeCell ref="P450:Q450"/>
    <mergeCell ref="P451:Q451"/>
    <mergeCell ref="P452:Q452"/>
    <mergeCell ref="P453:Q453"/>
    <mergeCell ref="P454:Q454"/>
    <mergeCell ref="P455:Q455"/>
    <mergeCell ref="P456:Q456"/>
    <mergeCell ref="P457:Q457"/>
    <mergeCell ref="P458:Q458"/>
    <mergeCell ref="P459:Q459"/>
    <mergeCell ref="P460:Q460"/>
    <mergeCell ref="P461:Q461"/>
    <mergeCell ref="P462:Q462"/>
    <mergeCell ref="P463:Q463"/>
    <mergeCell ref="P464:Q464"/>
    <mergeCell ref="P465:Q465"/>
    <mergeCell ref="P432:Q432"/>
    <mergeCell ref="P433:Q433"/>
    <mergeCell ref="P434:Q434"/>
    <mergeCell ref="P435:Q435"/>
    <mergeCell ref="P436:Q436"/>
    <mergeCell ref="P437:Q437"/>
    <mergeCell ref="P438:Q438"/>
    <mergeCell ref="P439:Q439"/>
    <mergeCell ref="P440:Q440"/>
    <mergeCell ref="P441:Q441"/>
    <mergeCell ref="P442:Q442"/>
    <mergeCell ref="P443:Q443"/>
    <mergeCell ref="P444:Q444"/>
    <mergeCell ref="P445:Q445"/>
    <mergeCell ref="P446:Q446"/>
    <mergeCell ref="P447:Q447"/>
    <mergeCell ref="P448:Q448"/>
    <mergeCell ref="P415:Q415"/>
    <mergeCell ref="P416:Q416"/>
    <mergeCell ref="P417:Q417"/>
    <mergeCell ref="P418:Q418"/>
    <mergeCell ref="P419:Q419"/>
    <mergeCell ref="P420:Q420"/>
    <mergeCell ref="P421:Q421"/>
    <mergeCell ref="P422:Q422"/>
    <mergeCell ref="P423:Q423"/>
    <mergeCell ref="P424:Q424"/>
    <mergeCell ref="P425:Q425"/>
    <mergeCell ref="P426:Q426"/>
    <mergeCell ref="P427:Q427"/>
    <mergeCell ref="P428:Q428"/>
    <mergeCell ref="P429:Q429"/>
    <mergeCell ref="P430:Q430"/>
    <mergeCell ref="P431:Q431"/>
    <mergeCell ref="P398:Q398"/>
    <mergeCell ref="P399:Q399"/>
    <mergeCell ref="P400:Q400"/>
    <mergeCell ref="P401:Q401"/>
    <mergeCell ref="P402:Q402"/>
    <mergeCell ref="P403:Q403"/>
    <mergeCell ref="P404:Q404"/>
    <mergeCell ref="P405:Q405"/>
    <mergeCell ref="P406:Q406"/>
    <mergeCell ref="P407:Q407"/>
    <mergeCell ref="P408:Q408"/>
    <mergeCell ref="P409:Q409"/>
    <mergeCell ref="P410:Q410"/>
    <mergeCell ref="P411:Q411"/>
    <mergeCell ref="P412:Q412"/>
    <mergeCell ref="P413:Q413"/>
    <mergeCell ref="P414:Q414"/>
    <mergeCell ref="P381:Q381"/>
    <mergeCell ref="P382:Q382"/>
    <mergeCell ref="P383:Q383"/>
    <mergeCell ref="P384:Q384"/>
    <mergeCell ref="P385:Q385"/>
    <mergeCell ref="P386:Q386"/>
    <mergeCell ref="P387:Q387"/>
    <mergeCell ref="P388:Q388"/>
    <mergeCell ref="P389:Q389"/>
    <mergeCell ref="P390:Q390"/>
    <mergeCell ref="P391:Q391"/>
    <mergeCell ref="P392:Q392"/>
    <mergeCell ref="P393:Q393"/>
    <mergeCell ref="P394:Q394"/>
    <mergeCell ref="P395:Q395"/>
    <mergeCell ref="P396:Q396"/>
    <mergeCell ref="P397:Q397"/>
    <mergeCell ref="P364:Q364"/>
    <mergeCell ref="P365:Q365"/>
    <mergeCell ref="P366:Q366"/>
    <mergeCell ref="P367:Q367"/>
    <mergeCell ref="P368:Q368"/>
    <mergeCell ref="P369:Q369"/>
    <mergeCell ref="P370:Q370"/>
    <mergeCell ref="P371:Q371"/>
    <mergeCell ref="P372:Q372"/>
    <mergeCell ref="P373:Q373"/>
    <mergeCell ref="P374:Q374"/>
    <mergeCell ref="P375:Q375"/>
    <mergeCell ref="P376:Q376"/>
    <mergeCell ref="P377:Q377"/>
    <mergeCell ref="P378:Q378"/>
    <mergeCell ref="P379:Q379"/>
    <mergeCell ref="P380:Q380"/>
    <mergeCell ref="P347:Q347"/>
    <mergeCell ref="P348:Q348"/>
    <mergeCell ref="P349:Q349"/>
    <mergeCell ref="P350:Q350"/>
    <mergeCell ref="P351:Q351"/>
    <mergeCell ref="P352:Q352"/>
    <mergeCell ref="P353:Q353"/>
    <mergeCell ref="P354:Q354"/>
    <mergeCell ref="P355:Q355"/>
    <mergeCell ref="P356:Q356"/>
    <mergeCell ref="P357:Q357"/>
    <mergeCell ref="P358:Q358"/>
    <mergeCell ref="P359:Q359"/>
    <mergeCell ref="P360:Q360"/>
    <mergeCell ref="P361:Q361"/>
    <mergeCell ref="P362:Q362"/>
    <mergeCell ref="P363:Q363"/>
    <mergeCell ref="P330:Q330"/>
    <mergeCell ref="P331:Q331"/>
    <mergeCell ref="P332:Q332"/>
    <mergeCell ref="P333:Q333"/>
    <mergeCell ref="P334:Q334"/>
    <mergeCell ref="P335:Q335"/>
    <mergeCell ref="P336:Q336"/>
    <mergeCell ref="P337:Q337"/>
    <mergeCell ref="P338:Q338"/>
    <mergeCell ref="P339:Q339"/>
    <mergeCell ref="P340:Q340"/>
    <mergeCell ref="P341:Q341"/>
    <mergeCell ref="P342:Q342"/>
    <mergeCell ref="P343:Q343"/>
    <mergeCell ref="P344:Q344"/>
    <mergeCell ref="P345:Q345"/>
    <mergeCell ref="P346:Q346"/>
    <mergeCell ref="P313:Q313"/>
    <mergeCell ref="P314:Q314"/>
    <mergeCell ref="P315:Q315"/>
    <mergeCell ref="P316:Q316"/>
    <mergeCell ref="P317:Q317"/>
    <mergeCell ref="P318:Q318"/>
    <mergeCell ref="P319:Q319"/>
    <mergeCell ref="P320:Q320"/>
    <mergeCell ref="P321:Q321"/>
    <mergeCell ref="P322:Q322"/>
    <mergeCell ref="P323:Q323"/>
    <mergeCell ref="P324:Q324"/>
    <mergeCell ref="P325:Q325"/>
    <mergeCell ref="P326:Q326"/>
    <mergeCell ref="P327:Q327"/>
    <mergeCell ref="P328:Q328"/>
    <mergeCell ref="P329:Q329"/>
    <mergeCell ref="P296:Q296"/>
    <mergeCell ref="P297:Q297"/>
    <mergeCell ref="P298:Q298"/>
    <mergeCell ref="P299:Q299"/>
    <mergeCell ref="P300:Q300"/>
    <mergeCell ref="P301:Q301"/>
    <mergeCell ref="P302:Q302"/>
    <mergeCell ref="P303:Q303"/>
    <mergeCell ref="P304:Q304"/>
    <mergeCell ref="P305:Q305"/>
    <mergeCell ref="P306:Q306"/>
    <mergeCell ref="P307:Q307"/>
    <mergeCell ref="P308:Q308"/>
    <mergeCell ref="P309:Q309"/>
    <mergeCell ref="P310:Q310"/>
    <mergeCell ref="P311:Q311"/>
    <mergeCell ref="P312:Q312"/>
    <mergeCell ref="P279:Q279"/>
    <mergeCell ref="P280:Q280"/>
    <mergeCell ref="P281:Q281"/>
    <mergeCell ref="P282:Q282"/>
    <mergeCell ref="P283:Q283"/>
    <mergeCell ref="P284:Q284"/>
    <mergeCell ref="P285:Q285"/>
    <mergeCell ref="P286:Q286"/>
    <mergeCell ref="P287:Q287"/>
    <mergeCell ref="P288:Q288"/>
    <mergeCell ref="P289:Q289"/>
    <mergeCell ref="P290:Q290"/>
    <mergeCell ref="P291:Q291"/>
    <mergeCell ref="P292:Q292"/>
    <mergeCell ref="P293:Q293"/>
    <mergeCell ref="P294:Q294"/>
    <mergeCell ref="P295:Q295"/>
    <mergeCell ref="P262:Q262"/>
    <mergeCell ref="P263:Q263"/>
    <mergeCell ref="P264:Q264"/>
    <mergeCell ref="P265:Q265"/>
    <mergeCell ref="P266:Q266"/>
    <mergeCell ref="P267:Q267"/>
    <mergeCell ref="P268:Q268"/>
    <mergeCell ref="P269:Q269"/>
    <mergeCell ref="P270:Q270"/>
    <mergeCell ref="P271:Q271"/>
    <mergeCell ref="P272:Q272"/>
    <mergeCell ref="P273:Q273"/>
    <mergeCell ref="P274:Q274"/>
    <mergeCell ref="P275:Q275"/>
    <mergeCell ref="P276:Q276"/>
    <mergeCell ref="P277:Q277"/>
    <mergeCell ref="P278:Q278"/>
    <mergeCell ref="P245:Q245"/>
    <mergeCell ref="P246:Q246"/>
    <mergeCell ref="P247:Q247"/>
    <mergeCell ref="P248:Q248"/>
    <mergeCell ref="P249:Q249"/>
    <mergeCell ref="P250:Q250"/>
    <mergeCell ref="P251:Q251"/>
    <mergeCell ref="P252:Q252"/>
    <mergeCell ref="P253:Q253"/>
    <mergeCell ref="P254:Q254"/>
    <mergeCell ref="P255:Q255"/>
    <mergeCell ref="P256:Q256"/>
    <mergeCell ref="P257:Q257"/>
    <mergeCell ref="P258:Q258"/>
    <mergeCell ref="P259:Q259"/>
    <mergeCell ref="P260:Q260"/>
    <mergeCell ref="P261:Q261"/>
    <mergeCell ref="P228:Q228"/>
    <mergeCell ref="P229:Q229"/>
    <mergeCell ref="P230:Q230"/>
    <mergeCell ref="P231:Q231"/>
    <mergeCell ref="P232:Q232"/>
    <mergeCell ref="P233:Q233"/>
    <mergeCell ref="P234:Q234"/>
    <mergeCell ref="P235:Q235"/>
    <mergeCell ref="P236:Q236"/>
    <mergeCell ref="P237:Q237"/>
    <mergeCell ref="P238:Q238"/>
    <mergeCell ref="P239:Q239"/>
    <mergeCell ref="P240:Q240"/>
    <mergeCell ref="P241:Q241"/>
    <mergeCell ref="P242:Q242"/>
    <mergeCell ref="P243:Q243"/>
    <mergeCell ref="P244:Q244"/>
    <mergeCell ref="P211:Q211"/>
    <mergeCell ref="P212:Q212"/>
    <mergeCell ref="P213:Q213"/>
    <mergeCell ref="P214:Q214"/>
    <mergeCell ref="P215:Q215"/>
    <mergeCell ref="P216:Q216"/>
    <mergeCell ref="P217:Q217"/>
    <mergeCell ref="P218:Q218"/>
    <mergeCell ref="P219:Q219"/>
    <mergeCell ref="P220:Q220"/>
    <mergeCell ref="P221:Q221"/>
    <mergeCell ref="P222:Q222"/>
    <mergeCell ref="P223:Q223"/>
    <mergeCell ref="P224:Q224"/>
    <mergeCell ref="P225:Q225"/>
    <mergeCell ref="P226:Q226"/>
    <mergeCell ref="P227:Q227"/>
    <mergeCell ref="P194:Q194"/>
    <mergeCell ref="P195:Q195"/>
    <mergeCell ref="P196:Q196"/>
    <mergeCell ref="P197:Q197"/>
    <mergeCell ref="P198:Q198"/>
    <mergeCell ref="P199:Q199"/>
    <mergeCell ref="P200:Q200"/>
    <mergeCell ref="P201:Q201"/>
    <mergeCell ref="P202:Q202"/>
    <mergeCell ref="P203:Q203"/>
    <mergeCell ref="P204:Q204"/>
    <mergeCell ref="P205:Q205"/>
    <mergeCell ref="P206:Q206"/>
    <mergeCell ref="P207:Q207"/>
    <mergeCell ref="P208:Q208"/>
    <mergeCell ref="P209:Q209"/>
    <mergeCell ref="P210:Q210"/>
    <mergeCell ref="P177:Q177"/>
    <mergeCell ref="P178:Q178"/>
    <mergeCell ref="P179:Q179"/>
    <mergeCell ref="P180:Q180"/>
    <mergeCell ref="P181:Q181"/>
    <mergeCell ref="P182:Q182"/>
    <mergeCell ref="P183:Q183"/>
    <mergeCell ref="P184:Q184"/>
    <mergeCell ref="P185:Q185"/>
    <mergeCell ref="P186:Q186"/>
    <mergeCell ref="P187:Q187"/>
    <mergeCell ref="P188:Q188"/>
    <mergeCell ref="P189:Q189"/>
    <mergeCell ref="P190:Q190"/>
    <mergeCell ref="P191:Q191"/>
    <mergeCell ref="P192:Q192"/>
    <mergeCell ref="P193:Q193"/>
    <mergeCell ref="P160:Q160"/>
    <mergeCell ref="P161:Q161"/>
    <mergeCell ref="P162:Q162"/>
    <mergeCell ref="P163:Q163"/>
    <mergeCell ref="P164:Q164"/>
    <mergeCell ref="P165:Q165"/>
    <mergeCell ref="P166:Q166"/>
    <mergeCell ref="P167:Q167"/>
    <mergeCell ref="P168:Q168"/>
    <mergeCell ref="P169:Q169"/>
    <mergeCell ref="P170:Q170"/>
    <mergeCell ref="P171:Q171"/>
    <mergeCell ref="P172:Q172"/>
    <mergeCell ref="P173:Q173"/>
    <mergeCell ref="P174:Q174"/>
    <mergeCell ref="P175:Q175"/>
    <mergeCell ref="P176:Q176"/>
    <mergeCell ref="P143:Q143"/>
    <mergeCell ref="P144:Q144"/>
    <mergeCell ref="P145:Q145"/>
    <mergeCell ref="P146:Q146"/>
    <mergeCell ref="P147:Q147"/>
    <mergeCell ref="P148:Q148"/>
    <mergeCell ref="P149:Q149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P123:Q123"/>
    <mergeCell ref="P124:Q124"/>
    <mergeCell ref="P125:Q125"/>
    <mergeCell ref="P126:Q126"/>
    <mergeCell ref="P127:Q127"/>
    <mergeCell ref="P128:Q128"/>
    <mergeCell ref="P129:Q129"/>
    <mergeCell ref="P130:Q130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0:Q140"/>
    <mergeCell ref="P141:Q141"/>
    <mergeCell ref="P142:Q142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X177:Y177"/>
    <mergeCell ref="X178:Y178"/>
    <mergeCell ref="X179:Y179"/>
    <mergeCell ref="H342:I342"/>
    <mergeCell ref="H343:I343"/>
    <mergeCell ref="H335:I335"/>
    <mergeCell ref="H336:I336"/>
    <mergeCell ref="H337:I337"/>
    <mergeCell ref="H338:I338"/>
    <mergeCell ref="H339:I339"/>
    <mergeCell ref="H340:I340"/>
    <mergeCell ref="H341:I341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X160:Y160"/>
    <mergeCell ref="X161:Y161"/>
    <mergeCell ref="X162:Y162"/>
    <mergeCell ref="X163:Y163"/>
    <mergeCell ref="X164:Y164"/>
    <mergeCell ref="X165:Y165"/>
    <mergeCell ref="X166:Y166"/>
    <mergeCell ref="X167:Y167"/>
    <mergeCell ref="X168:Y168"/>
    <mergeCell ref="X169:Y169"/>
    <mergeCell ref="X170:Y170"/>
    <mergeCell ref="X171:Y171"/>
    <mergeCell ref="X172:Y172"/>
    <mergeCell ref="X173:Y173"/>
    <mergeCell ref="X174:Y174"/>
    <mergeCell ref="X175:Y175"/>
    <mergeCell ref="X176:Y176"/>
    <mergeCell ref="X143:Y143"/>
    <mergeCell ref="X144:Y144"/>
    <mergeCell ref="X145:Y145"/>
    <mergeCell ref="X146:Y146"/>
    <mergeCell ref="X147:Y147"/>
    <mergeCell ref="X148:Y148"/>
    <mergeCell ref="X149:Y149"/>
    <mergeCell ref="X150:Y150"/>
    <mergeCell ref="X151:Y151"/>
    <mergeCell ref="X152:Y152"/>
    <mergeCell ref="X153:Y153"/>
    <mergeCell ref="X154:Y154"/>
    <mergeCell ref="X155:Y155"/>
    <mergeCell ref="X156:Y156"/>
    <mergeCell ref="X157:Y157"/>
    <mergeCell ref="X158:Y158"/>
    <mergeCell ref="X159:Y159"/>
    <mergeCell ref="X126:Y126"/>
    <mergeCell ref="X127:Y127"/>
    <mergeCell ref="X128:Y128"/>
    <mergeCell ref="X129:Y129"/>
    <mergeCell ref="X130:Y130"/>
    <mergeCell ref="X131:Y131"/>
    <mergeCell ref="X132:Y132"/>
    <mergeCell ref="X133:Y133"/>
    <mergeCell ref="X134:Y134"/>
    <mergeCell ref="X135:Y135"/>
    <mergeCell ref="X136:Y136"/>
    <mergeCell ref="X137:Y137"/>
    <mergeCell ref="X138:Y138"/>
    <mergeCell ref="X139:Y139"/>
    <mergeCell ref="X140:Y140"/>
    <mergeCell ref="X141:Y141"/>
    <mergeCell ref="X142:Y142"/>
    <mergeCell ref="X116:Y116"/>
    <mergeCell ref="P116:Q116"/>
    <mergeCell ref="P117:Q117"/>
    <mergeCell ref="P118:Q118"/>
    <mergeCell ref="P119:Q119"/>
    <mergeCell ref="P120:Q120"/>
    <mergeCell ref="P121:Q121"/>
    <mergeCell ref="P122:Q122"/>
    <mergeCell ref="X117:Y117"/>
    <mergeCell ref="X118:Y118"/>
    <mergeCell ref="X119:Y119"/>
    <mergeCell ref="X120:Y120"/>
    <mergeCell ref="X121:Y121"/>
    <mergeCell ref="X122:Y122"/>
    <mergeCell ref="X123:Y123"/>
    <mergeCell ref="X124:Y124"/>
    <mergeCell ref="X125:Y125"/>
    <mergeCell ref="P107:Q107"/>
    <mergeCell ref="X107:Y107"/>
    <mergeCell ref="P108:Q108"/>
    <mergeCell ref="X108:Y108"/>
    <mergeCell ref="X109:Y109"/>
    <mergeCell ref="P109:Q109"/>
    <mergeCell ref="P110:Q110"/>
    <mergeCell ref="P111:Q111"/>
    <mergeCell ref="P112:Q112"/>
    <mergeCell ref="P113:Q113"/>
    <mergeCell ref="P114:Q114"/>
    <mergeCell ref="P115:Q115"/>
    <mergeCell ref="X110:Y110"/>
    <mergeCell ref="X111:Y111"/>
    <mergeCell ref="X112:Y112"/>
    <mergeCell ref="X113:Y113"/>
    <mergeCell ref="X114:Y114"/>
    <mergeCell ref="X115:Y115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X98:Y98"/>
    <mergeCell ref="X99:Y99"/>
    <mergeCell ref="X100:Y100"/>
    <mergeCell ref="X101:Y101"/>
    <mergeCell ref="X102:Y102"/>
    <mergeCell ref="X103:Y103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A55:B55"/>
    <mergeCell ref="A56:B56"/>
    <mergeCell ref="A57:B57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P3:Q3"/>
    <mergeCell ref="P4:Q4"/>
    <mergeCell ref="P5:Q5"/>
    <mergeCell ref="P6:Q6"/>
    <mergeCell ref="P17:Q17"/>
    <mergeCell ref="P18:Q18"/>
    <mergeCell ref="P19:Q19"/>
    <mergeCell ref="P20:Q20"/>
    <mergeCell ref="P21:Q21"/>
    <mergeCell ref="P22:Q22"/>
    <mergeCell ref="P23:Q23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X19:Y19"/>
    <mergeCell ref="X20:Y20"/>
    <mergeCell ref="X21:Y21"/>
    <mergeCell ref="A4:B4"/>
    <mergeCell ref="A5:B5"/>
    <mergeCell ref="A6:B6"/>
    <mergeCell ref="A7:B7"/>
    <mergeCell ref="A8:B8"/>
    <mergeCell ref="A9:B9"/>
    <mergeCell ref="A10:B10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X4:Y4"/>
    <mergeCell ref="Z4:AA4"/>
    <mergeCell ref="X5:Y5"/>
    <mergeCell ref="X6:Y6"/>
    <mergeCell ref="H3:I3"/>
    <mergeCell ref="H4:I4"/>
    <mergeCell ref="H5:I5"/>
    <mergeCell ref="J5:L5"/>
    <mergeCell ref="H6:I6"/>
    <mergeCell ref="H7:I7"/>
    <mergeCell ref="H8:I8"/>
    <mergeCell ref="A11:B11"/>
    <mergeCell ref="A12:B12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A1:B1"/>
    <mergeCell ref="H1:I1"/>
    <mergeCell ref="P1:Q1"/>
    <mergeCell ref="X1:Y1"/>
    <mergeCell ref="H2:I2"/>
    <mergeCell ref="P2:Q2"/>
    <mergeCell ref="X2:Y2"/>
    <mergeCell ref="A2:B2"/>
    <mergeCell ref="A3:B3"/>
    <mergeCell ref="J3:O3"/>
    <mergeCell ref="J4:L4"/>
    <mergeCell ref="R4:S4"/>
    <mergeCell ref="X3:Y3"/>
    <mergeCell ref="P13:Q13"/>
    <mergeCell ref="P15:Q15"/>
    <mergeCell ref="P16:Q16"/>
    <mergeCell ref="X15:Y15"/>
    <mergeCell ref="X17:Y17"/>
    <mergeCell ref="X18:Y18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114:I114"/>
    <mergeCell ref="H115:I115"/>
    <mergeCell ref="H107:I107"/>
    <mergeCell ref="H108:I108"/>
    <mergeCell ref="H109:I109"/>
    <mergeCell ref="H110:I110"/>
    <mergeCell ref="H111:I111"/>
    <mergeCell ref="H112:I112"/>
    <mergeCell ref="H113:I113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P105:Q105"/>
    <mergeCell ref="P106:Q106"/>
    <mergeCell ref="P95:Q95"/>
    <mergeCell ref="P96:Q96"/>
    <mergeCell ref="P97:Q97"/>
    <mergeCell ref="P98:Q98"/>
    <mergeCell ref="P99:Q99"/>
    <mergeCell ref="P100:Q100"/>
    <mergeCell ref="P101:Q101"/>
    <mergeCell ref="P57:Q57"/>
    <mergeCell ref="P58:Q58"/>
    <mergeCell ref="P59:Q59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0:Q70"/>
    <mergeCell ref="P71:Q71"/>
    <mergeCell ref="P72:Q72"/>
    <mergeCell ref="P73:Q73"/>
    <mergeCell ref="P74:Q74"/>
    <mergeCell ref="P75:Q75"/>
    <mergeCell ref="P76:Q76"/>
    <mergeCell ref="P77:Q77"/>
    <mergeCell ref="P78:Q78"/>
    <mergeCell ref="P79:Q79"/>
    <mergeCell ref="X64:Y64"/>
    <mergeCell ref="X65:Y65"/>
    <mergeCell ref="X66:Y66"/>
    <mergeCell ref="X67:Y67"/>
    <mergeCell ref="X68:Y68"/>
    <mergeCell ref="X69:Y69"/>
    <mergeCell ref="X70:Y70"/>
    <mergeCell ref="P88:Q88"/>
    <mergeCell ref="P89:Q89"/>
    <mergeCell ref="P90:Q90"/>
    <mergeCell ref="P91:Q91"/>
    <mergeCell ref="P92:Q92"/>
    <mergeCell ref="P93:Q93"/>
    <mergeCell ref="P94:Q94"/>
    <mergeCell ref="P102:Q102"/>
    <mergeCell ref="P103:Q103"/>
    <mergeCell ref="P104:Q104"/>
    <mergeCell ref="P80:Q80"/>
    <mergeCell ref="X80:Y80"/>
    <mergeCell ref="X81:Y81"/>
    <mergeCell ref="X82:Y82"/>
    <mergeCell ref="X83:Y83"/>
    <mergeCell ref="P81:Q81"/>
    <mergeCell ref="P82:Q82"/>
    <mergeCell ref="P83:Q83"/>
    <mergeCell ref="P84:Q84"/>
    <mergeCell ref="P85:Q85"/>
    <mergeCell ref="P86:Q86"/>
    <mergeCell ref="P87:Q87"/>
    <mergeCell ref="X84:Y84"/>
    <mergeCell ref="X85:Y85"/>
    <mergeCell ref="X86:Y86"/>
    <mergeCell ref="X47:Y47"/>
    <mergeCell ref="X48:Y48"/>
    <mergeCell ref="X49:Y49"/>
    <mergeCell ref="X50:Y50"/>
    <mergeCell ref="X51:Y51"/>
    <mergeCell ref="X52:Y52"/>
    <mergeCell ref="X53:Y53"/>
    <mergeCell ref="X54:Y54"/>
    <mergeCell ref="X55:Y55"/>
    <mergeCell ref="X56:Y56"/>
    <mergeCell ref="X57:Y57"/>
    <mergeCell ref="X58:Y58"/>
    <mergeCell ref="X59:Y59"/>
    <mergeCell ref="X60:Y60"/>
    <mergeCell ref="X61:Y61"/>
    <mergeCell ref="X62:Y62"/>
    <mergeCell ref="X63:Y63"/>
    <mergeCell ref="X71:Y71"/>
    <mergeCell ref="X72:Y72"/>
    <mergeCell ref="X73:Y73"/>
    <mergeCell ref="X74:Y74"/>
    <mergeCell ref="X75:Y75"/>
    <mergeCell ref="X76:Y76"/>
    <mergeCell ref="X77:Y77"/>
    <mergeCell ref="X22:Y22"/>
    <mergeCell ref="X23:Y23"/>
    <mergeCell ref="X24:Y24"/>
    <mergeCell ref="X25:Y25"/>
    <mergeCell ref="X26:Y26"/>
    <mergeCell ref="X27:Y27"/>
    <mergeCell ref="X28:Y28"/>
    <mergeCell ref="X29:Y29"/>
    <mergeCell ref="X30:Y30"/>
    <mergeCell ref="X31:Y31"/>
    <mergeCell ref="X32:Y32"/>
    <mergeCell ref="X33:Y33"/>
    <mergeCell ref="X34:Y34"/>
    <mergeCell ref="X35:Y35"/>
    <mergeCell ref="X36:Y36"/>
    <mergeCell ref="X37:Y37"/>
    <mergeCell ref="X38:Y38"/>
    <mergeCell ref="X39:Y39"/>
    <mergeCell ref="X40:Y40"/>
    <mergeCell ref="X41:Y41"/>
    <mergeCell ref="X42:Y42"/>
    <mergeCell ref="X43:Y43"/>
    <mergeCell ref="X44:Y44"/>
    <mergeCell ref="X45:Y45"/>
    <mergeCell ref="X46:Y46"/>
    <mergeCell ref="X681:Y681"/>
    <mergeCell ref="X682:Y682"/>
    <mergeCell ref="X683:Y683"/>
    <mergeCell ref="X684:Y684"/>
    <mergeCell ref="X685:Y685"/>
    <mergeCell ref="X686:Y686"/>
    <mergeCell ref="X687:Y687"/>
    <mergeCell ref="X688:Y688"/>
    <mergeCell ref="X689:Y689"/>
    <mergeCell ref="X690:Y690"/>
    <mergeCell ref="X691:Y691"/>
    <mergeCell ref="X692:Y692"/>
    <mergeCell ref="X693:Y693"/>
    <mergeCell ref="X694:Y694"/>
    <mergeCell ref="X695:Y695"/>
    <mergeCell ref="X696:Y696"/>
    <mergeCell ref="X78:Y78"/>
    <mergeCell ref="X79:Y79"/>
    <mergeCell ref="X87:Y87"/>
    <mergeCell ref="X88:Y88"/>
    <mergeCell ref="X89:Y89"/>
    <mergeCell ref="X90:Y90"/>
    <mergeCell ref="X91:Y91"/>
    <mergeCell ref="X92:Y92"/>
    <mergeCell ref="X93:Y93"/>
    <mergeCell ref="X94:Y94"/>
    <mergeCell ref="X95:Y95"/>
    <mergeCell ref="X96:Y96"/>
    <mergeCell ref="X97:Y97"/>
    <mergeCell ref="X104:Y104"/>
    <mergeCell ref="X105:Y105"/>
    <mergeCell ref="X106:Y106"/>
    <mergeCell ref="X664:Y664"/>
    <mergeCell ref="X665:Y665"/>
    <mergeCell ref="X666:Y666"/>
    <mergeCell ref="X667:Y667"/>
    <mergeCell ref="X668:Y668"/>
    <mergeCell ref="X669:Y669"/>
    <mergeCell ref="X670:Y670"/>
    <mergeCell ref="X671:Y671"/>
    <mergeCell ref="X672:Y672"/>
    <mergeCell ref="X673:Y673"/>
    <mergeCell ref="X674:Y674"/>
    <mergeCell ref="X675:Y675"/>
    <mergeCell ref="X676:Y676"/>
    <mergeCell ref="X677:Y677"/>
    <mergeCell ref="X678:Y678"/>
    <mergeCell ref="X679:Y679"/>
    <mergeCell ref="X680:Y680"/>
    <mergeCell ref="X647:Y647"/>
    <mergeCell ref="X648:Y648"/>
    <mergeCell ref="X649:Y649"/>
    <mergeCell ref="X650:Y650"/>
    <mergeCell ref="X651:Y651"/>
    <mergeCell ref="X652:Y652"/>
    <mergeCell ref="X653:Y653"/>
    <mergeCell ref="X654:Y654"/>
    <mergeCell ref="X655:Y655"/>
    <mergeCell ref="X656:Y656"/>
    <mergeCell ref="X657:Y657"/>
    <mergeCell ref="X658:Y658"/>
    <mergeCell ref="X659:Y659"/>
    <mergeCell ref="X660:Y660"/>
    <mergeCell ref="X661:Y661"/>
    <mergeCell ref="X662:Y662"/>
    <mergeCell ref="X663:Y663"/>
    <mergeCell ref="X630:Y630"/>
    <mergeCell ref="X631:Y631"/>
    <mergeCell ref="X632:Y632"/>
    <mergeCell ref="X633:Y633"/>
    <mergeCell ref="X634:Y634"/>
    <mergeCell ref="X635:Y635"/>
    <mergeCell ref="X636:Y636"/>
    <mergeCell ref="X637:Y637"/>
    <mergeCell ref="X638:Y638"/>
    <mergeCell ref="X639:Y639"/>
    <mergeCell ref="X640:Y640"/>
    <mergeCell ref="X641:Y641"/>
    <mergeCell ref="X642:Y642"/>
    <mergeCell ref="X643:Y643"/>
    <mergeCell ref="X644:Y644"/>
    <mergeCell ref="X645:Y645"/>
    <mergeCell ref="X646:Y646"/>
    <mergeCell ref="X613:Y613"/>
    <mergeCell ref="X614:Y614"/>
    <mergeCell ref="X615:Y615"/>
    <mergeCell ref="X616:Y616"/>
    <mergeCell ref="X617:Y617"/>
    <mergeCell ref="X618:Y618"/>
    <mergeCell ref="X619:Y619"/>
    <mergeCell ref="X620:Y620"/>
    <mergeCell ref="X621:Y621"/>
    <mergeCell ref="X622:Y622"/>
    <mergeCell ref="X623:Y623"/>
    <mergeCell ref="X624:Y624"/>
    <mergeCell ref="X625:Y625"/>
    <mergeCell ref="X626:Y626"/>
    <mergeCell ref="X627:Y627"/>
    <mergeCell ref="X628:Y628"/>
    <mergeCell ref="X629:Y629"/>
    <mergeCell ref="P600:Q600"/>
    <mergeCell ref="P601:Q601"/>
    <mergeCell ref="P602:Q602"/>
    <mergeCell ref="P603:Q603"/>
    <mergeCell ref="P604:Q604"/>
    <mergeCell ref="P605:Q605"/>
    <mergeCell ref="P606:Q606"/>
    <mergeCell ref="P607:Q607"/>
    <mergeCell ref="P608:Q608"/>
    <mergeCell ref="P609:Q609"/>
    <mergeCell ref="P610:Q610"/>
    <mergeCell ref="P611:Q611"/>
    <mergeCell ref="P612:Q612"/>
    <mergeCell ref="X599:Y599"/>
    <mergeCell ref="X600:Y600"/>
    <mergeCell ref="X601:Y601"/>
    <mergeCell ref="X602:Y602"/>
    <mergeCell ref="X603:Y603"/>
    <mergeCell ref="X604:Y604"/>
    <mergeCell ref="X605:Y605"/>
    <mergeCell ref="X606:Y606"/>
    <mergeCell ref="X607:Y607"/>
    <mergeCell ref="X608:Y608"/>
    <mergeCell ref="X609:Y609"/>
    <mergeCell ref="X610:Y610"/>
    <mergeCell ref="X611:Y611"/>
    <mergeCell ref="X612:Y612"/>
    <mergeCell ref="P583:Q583"/>
    <mergeCell ref="P584:Q584"/>
    <mergeCell ref="P585:Q585"/>
    <mergeCell ref="P586:Q586"/>
    <mergeCell ref="P587:Q587"/>
    <mergeCell ref="P588:Q588"/>
    <mergeCell ref="P589:Q589"/>
    <mergeCell ref="P590:Q590"/>
    <mergeCell ref="P591:Q591"/>
    <mergeCell ref="P592:Q592"/>
    <mergeCell ref="P593:Q593"/>
    <mergeCell ref="P594:Q594"/>
    <mergeCell ref="P595:Q595"/>
    <mergeCell ref="P596:Q596"/>
    <mergeCell ref="P597:Q597"/>
    <mergeCell ref="P598:Q598"/>
    <mergeCell ref="P599:Q599"/>
    <mergeCell ref="P566:Q566"/>
    <mergeCell ref="P567:Q567"/>
    <mergeCell ref="P568:Q568"/>
    <mergeCell ref="P569:Q569"/>
    <mergeCell ref="P570:Q570"/>
    <mergeCell ref="P571:Q571"/>
    <mergeCell ref="P572:Q572"/>
    <mergeCell ref="P573:Q573"/>
    <mergeCell ref="P574:Q574"/>
    <mergeCell ref="P575:Q575"/>
    <mergeCell ref="P576:Q576"/>
    <mergeCell ref="P577:Q577"/>
    <mergeCell ref="P578:Q578"/>
    <mergeCell ref="P579:Q579"/>
    <mergeCell ref="P580:Q580"/>
    <mergeCell ref="P581:Q581"/>
    <mergeCell ref="P582:Q582"/>
    <mergeCell ref="P552:Q552"/>
    <mergeCell ref="P553:Q553"/>
    <mergeCell ref="P554:Q554"/>
    <mergeCell ref="P555:Q555"/>
    <mergeCell ref="P556:Q556"/>
    <mergeCell ref="P557:Q557"/>
    <mergeCell ref="P558:Q558"/>
    <mergeCell ref="P559:Q559"/>
    <mergeCell ref="P560:Q560"/>
    <mergeCell ref="P561:Q561"/>
    <mergeCell ref="P562:Q562"/>
    <mergeCell ref="P563:Q563"/>
    <mergeCell ref="X597:Y597"/>
    <mergeCell ref="X598:Y598"/>
    <mergeCell ref="X590:Y590"/>
    <mergeCell ref="X591:Y591"/>
    <mergeCell ref="X592:Y592"/>
    <mergeCell ref="X593:Y593"/>
    <mergeCell ref="X594:Y594"/>
    <mergeCell ref="X595:Y595"/>
    <mergeCell ref="X596:Y596"/>
    <mergeCell ref="X582:Y582"/>
    <mergeCell ref="X583:Y583"/>
    <mergeCell ref="X581:Y581"/>
    <mergeCell ref="X584:Y584"/>
    <mergeCell ref="X585:Y585"/>
    <mergeCell ref="X586:Y586"/>
    <mergeCell ref="X587:Y587"/>
    <mergeCell ref="X588:Y588"/>
    <mergeCell ref="X589:Y589"/>
    <mergeCell ref="P564:Q564"/>
    <mergeCell ref="P565:Q565"/>
    <mergeCell ref="P520:Q520"/>
    <mergeCell ref="P521:Q521"/>
    <mergeCell ref="P522:Q522"/>
    <mergeCell ref="P523:Q523"/>
    <mergeCell ref="P524:Q524"/>
    <mergeCell ref="P525:Q525"/>
    <mergeCell ref="P526:Q526"/>
    <mergeCell ref="P527:Q527"/>
    <mergeCell ref="P528:Q528"/>
    <mergeCell ref="P529:Q529"/>
    <mergeCell ref="P530:Q530"/>
    <mergeCell ref="P531:Q531"/>
    <mergeCell ref="P532:Q532"/>
    <mergeCell ref="P533:Q533"/>
    <mergeCell ref="P534:Q534"/>
    <mergeCell ref="P535:Q535"/>
    <mergeCell ref="P536:Q536"/>
    <mergeCell ref="P503:Q503"/>
    <mergeCell ref="P504:Q504"/>
    <mergeCell ref="P505:Q505"/>
    <mergeCell ref="P506:Q506"/>
    <mergeCell ref="P507:Q507"/>
    <mergeCell ref="P508:Q508"/>
    <mergeCell ref="P509:Q509"/>
    <mergeCell ref="P510:Q510"/>
    <mergeCell ref="P511:Q511"/>
    <mergeCell ref="P512:Q512"/>
    <mergeCell ref="P513:Q513"/>
    <mergeCell ref="P514:Q514"/>
    <mergeCell ref="P515:Q515"/>
    <mergeCell ref="P516:Q516"/>
    <mergeCell ref="P517:Q517"/>
    <mergeCell ref="P518:Q518"/>
    <mergeCell ref="P519:Q519"/>
    <mergeCell ref="P486:Q486"/>
    <mergeCell ref="P487:Q487"/>
    <mergeCell ref="P488:Q488"/>
    <mergeCell ref="P489:Q489"/>
    <mergeCell ref="P490:Q490"/>
    <mergeCell ref="P491:Q491"/>
    <mergeCell ref="P492:Q492"/>
    <mergeCell ref="P493:Q493"/>
    <mergeCell ref="P494:Q494"/>
    <mergeCell ref="P495:Q495"/>
    <mergeCell ref="P496:Q496"/>
    <mergeCell ref="P497:Q497"/>
    <mergeCell ref="P498:Q498"/>
    <mergeCell ref="P499:Q499"/>
    <mergeCell ref="P500:Q500"/>
    <mergeCell ref="P501:Q501"/>
    <mergeCell ref="P502:Q502"/>
    <mergeCell ref="X939:Y939"/>
    <mergeCell ref="X940:Y940"/>
    <mergeCell ref="X941:Y941"/>
    <mergeCell ref="X942:Y942"/>
    <mergeCell ref="X943:Y943"/>
    <mergeCell ref="X944:Y944"/>
    <mergeCell ref="X945:Y945"/>
    <mergeCell ref="X946:Y946"/>
    <mergeCell ref="X947:Y947"/>
    <mergeCell ref="X948:Y948"/>
    <mergeCell ref="X949:Y949"/>
    <mergeCell ref="X950:Y950"/>
    <mergeCell ref="P466:Q466"/>
    <mergeCell ref="P467:Q467"/>
    <mergeCell ref="P468:Q468"/>
    <mergeCell ref="P469:Q469"/>
    <mergeCell ref="P470:Q470"/>
    <mergeCell ref="P471:Q471"/>
    <mergeCell ref="P472:Q472"/>
    <mergeCell ref="P473:Q473"/>
    <mergeCell ref="P474:Q474"/>
    <mergeCell ref="P475:Q475"/>
    <mergeCell ref="P476:Q476"/>
    <mergeCell ref="P477:Q477"/>
    <mergeCell ref="P478:Q478"/>
    <mergeCell ref="P479:Q479"/>
    <mergeCell ref="P480:Q480"/>
    <mergeCell ref="P481:Q481"/>
    <mergeCell ref="P482:Q482"/>
    <mergeCell ref="P483:Q483"/>
    <mergeCell ref="P484:Q484"/>
    <mergeCell ref="P485:Q485"/>
    <mergeCell ref="X998:Y998"/>
    <mergeCell ref="X999:Y999"/>
    <mergeCell ref="X1000:Y1000"/>
    <mergeCell ref="X986:Y986"/>
    <mergeCell ref="X987:Y987"/>
    <mergeCell ref="X988:Y988"/>
    <mergeCell ref="X989:Y989"/>
    <mergeCell ref="X990:Y990"/>
    <mergeCell ref="X991:Y991"/>
    <mergeCell ref="X992:Y992"/>
    <mergeCell ref="X902:Y902"/>
    <mergeCell ref="X903:Y903"/>
    <mergeCell ref="X904:Y904"/>
    <mergeCell ref="X905:Y905"/>
    <mergeCell ref="X906:Y906"/>
    <mergeCell ref="X907:Y907"/>
    <mergeCell ref="X908:Y908"/>
    <mergeCell ref="X909:Y909"/>
    <mergeCell ref="X910:Y910"/>
    <mergeCell ref="X911:Y911"/>
    <mergeCell ref="X912:Y912"/>
    <mergeCell ref="X913:Y913"/>
    <mergeCell ref="X914:Y914"/>
    <mergeCell ref="X915:Y915"/>
    <mergeCell ref="X916:Y916"/>
    <mergeCell ref="X917:Y917"/>
    <mergeCell ref="X918:Y918"/>
    <mergeCell ref="X919:Y919"/>
    <mergeCell ref="X920:Y920"/>
    <mergeCell ref="X921:Y921"/>
    <mergeCell ref="X922:Y922"/>
    <mergeCell ref="X923:Y923"/>
    <mergeCell ref="X974:Y974"/>
    <mergeCell ref="X975:Y975"/>
    <mergeCell ref="X976:Y976"/>
    <mergeCell ref="X977:Y977"/>
    <mergeCell ref="X978:Y978"/>
    <mergeCell ref="X979:Y979"/>
    <mergeCell ref="X980:Y980"/>
    <mergeCell ref="X981:Y981"/>
    <mergeCell ref="X982:Y982"/>
    <mergeCell ref="X983:Y983"/>
    <mergeCell ref="X984:Y984"/>
    <mergeCell ref="X985:Y985"/>
    <mergeCell ref="X993:Y993"/>
    <mergeCell ref="X994:Y994"/>
    <mergeCell ref="X995:Y995"/>
    <mergeCell ref="X996:Y996"/>
    <mergeCell ref="X997:Y997"/>
    <mergeCell ref="X957:Y957"/>
    <mergeCell ref="X958:Y958"/>
    <mergeCell ref="X959:Y959"/>
    <mergeCell ref="X960:Y960"/>
    <mergeCell ref="X961:Y961"/>
    <mergeCell ref="X962:Y962"/>
    <mergeCell ref="X963:Y963"/>
    <mergeCell ref="X964:Y964"/>
    <mergeCell ref="X965:Y965"/>
    <mergeCell ref="X966:Y966"/>
    <mergeCell ref="X967:Y967"/>
    <mergeCell ref="X968:Y968"/>
    <mergeCell ref="X969:Y969"/>
    <mergeCell ref="X970:Y970"/>
    <mergeCell ref="X971:Y971"/>
    <mergeCell ref="X972:Y972"/>
    <mergeCell ref="X973:Y973"/>
    <mergeCell ref="X891:Y891"/>
    <mergeCell ref="X892:Y892"/>
    <mergeCell ref="X893:Y893"/>
    <mergeCell ref="X894:Y894"/>
    <mergeCell ref="X895:Y895"/>
    <mergeCell ref="X896:Y896"/>
    <mergeCell ref="X897:Y897"/>
    <mergeCell ref="X898:Y898"/>
    <mergeCell ref="X899:Y899"/>
    <mergeCell ref="X900:Y900"/>
    <mergeCell ref="X901:Y901"/>
    <mergeCell ref="X951:Y951"/>
    <mergeCell ref="X952:Y952"/>
    <mergeCell ref="X953:Y953"/>
    <mergeCell ref="X954:Y954"/>
    <mergeCell ref="X955:Y955"/>
    <mergeCell ref="X956:Y956"/>
    <mergeCell ref="X924:Y924"/>
    <mergeCell ref="X925:Y925"/>
    <mergeCell ref="X926:Y926"/>
    <mergeCell ref="X927:Y927"/>
    <mergeCell ref="X928:Y928"/>
    <mergeCell ref="X929:Y929"/>
    <mergeCell ref="X930:Y930"/>
    <mergeCell ref="X931:Y931"/>
    <mergeCell ref="X932:Y932"/>
    <mergeCell ref="X933:Y933"/>
    <mergeCell ref="X934:Y934"/>
    <mergeCell ref="X935:Y935"/>
    <mergeCell ref="X936:Y936"/>
    <mergeCell ref="X937:Y937"/>
    <mergeCell ref="X938:Y938"/>
    <mergeCell ref="X874:Y874"/>
    <mergeCell ref="X875:Y875"/>
    <mergeCell ref="X876:Y876"/>
    <mergeCell ref="X877:Y877"/>
    <mergeCell ref="X878:Y878"/>
    <mergeCell ref="X879:Y879"/>
    <mergeCell ref="X880:Y880"/>
    <mergeCell ref="X881:Y881"/>
    <mergeCell ref="X882:Y882"/>
    <mergeCell ref="X883:Y883"/>
    <mergeCell ref="X884:Y884"/>
    <mergeCell ref="X885:Y885"/>
    <mergeCell ref="X886:Y886"/>
    <mergeCell ref="X887:Y887"/>
    <mergeCell ref="X888:Y888"/>
    <mergeCell ref="X889:Y889"/>
    <mergeCell ref="X890:Y890"/>
    <mergeCell ref="X857:Y857"/>
    <mergeCell ref="X858:Y858"/>
    <mergeCell ref="X859:Y859"/>
    <mergeCell ref="X860:Y860"/>
    <mergeCell ref="X861:Y861"/>
    <mergeCell ref="X862:Y862"/>
    <mergeCell ref="X863:Y863"/>
    <mergeCell ref="X864:Y864"/>
    <mergeCell ref="X865:Y865"/>
    <mergeCell ref="X866:Y866"/>
    <mergeCell ref="X867:Y867"/>
    <mergeCell ref="X868:Y868"/>
    <mergeCell ref="X869:Y869"/>
    <mergeCell ref="X870:Y870"/>
    <mergeCell ref="X871:Y871"/>
    <mergeCell ref="X872:Y872"/>
    <mergeCell ref="X873:Y873"/>
    <mergeCell ref="X840:Y840"/>
    <mergeCell ref="X841:Y841"/>
    <mergeCell ref="X842:Y842"/>
    <mergeCell ref="X843:Y843"/>
    <mergeCell ref="X844:Y844"/>
    <mergeCell ref="X845:Y845"/>
    <mergeCell ref="X846:Y846"/>
    <mergeCell ref="X847:Y847"/>
    <mergeCell ref="X848:Y848"/>
    <mergeCell ref="X849:Y849"/>
    <mergeCell ref="X850:Y850"/>
    <mergeCell ref="X851:Y851"/>
    <mergeCell ref="X852:Y852"/>
    <mergeCell ref="X853:Y853"/>
    <mergeCell ref="X854:Y854"/>
    <mergeCell ref="X855:Y855"/>
    <mergeCell ref="X856:Y856"/>
    <mergeCell ref="X823:Y823"/>
    <mergeCell ref="X824:Y824"/>
    <mergeCell ref="X825:Y825"/>
    <mergeCell ref="X826:Y826"/>
    <mergeCell ref="X827:Y827"/>
    <mergeCell ref="X828:Y828"/>
    <mergeCell ref="X829:Y829"/>
    <mergeCell ref="X830:Y830"/>
    <mergeCell ref="X831:Y831"/>
    <mergeCell ref="X832:Y832"/>
    <mergeCell ref="X833:Y833"/>
    <mergeCell ref="X834:Y834"/>
    <mergeCell ref="X835:Y835"/>
    <mergeCell ref="X836:Y836"/>
    <mergeCell ref="X837:Y837"/>
    <mergeCell ref="X838:Y838"/>
    <mergeCell ref="X839:Y839"/>
    <mergeCell ref="X806:Y806"/>
    <mergeCell ref="X807:Y807"/>
    <mergeCell ref="X808:Y808"/>
    <mergeCell ref="X809:Y809"/>
    <mergeCell ref="X810:Y810"/>
    <mergeCell ref="X811:Y811"/>
    <mergeCell ref="X812:Y812"/>
    <mergeCell ref="X813:Y813"/>
    <mergeCell ref="X814:Y814"/>
    <mergeCell ref="X815:Y815"/>
    <mergeCell ref="X816:Y816"/>
    <mergeCell ref="X817:Y817"/>
    <mergeCell ref="X818:Y818"/>
    <mergeCell ref="X819:Y819"/>
    <mergeCell ref="X820:Y820"/>
    <mergeCell ref="X821:Y821"/>
    <mergeCell ref="X822:Y822"/>
    <mergeCell ref="X789:Y789"/>
    <mergeCell ref="X790:Y790"/>
    <mergeCell ref="X791:Y791"/>
    <mergeCell ref="X792:Y792"/>
    <mergeCell ref="X793:Y793"/>
    <mergeCell ref="X794:Y794"/>
    <mergeCell ref="X795:Y795"/>
    <mergeCell ref="X796:Y796"/>
    <mergeCell ref="X797:Y797"/>
    <mergeCell ref="X798:Y798"/>
    <mergeCell ref="X799:Y799"/>
    <mergeCell ref="X800:Y800"/>
    <mergeCell ref="X801:Y801"/>
    <mergeCell ref="X802:Y802"/>
    <mergeCell ref="X803:Y803"/>
    <mergeCell ref="X804:Y804"/>
    <mergeCell ref="X805:Y805"/>
    <mergeCell ref="X772:Y772"/>
    <mergeCell ref="X773:Y773"/>
    <mergeCell ref="X774:Y774"/>
    <mergeCell ref="X775:Y775"/>
    <mergeCell ref="X776:Y776"/>
    <mergeCell ref="X777:Y777"/>
    <mergeCell ref="X778:Y778"/>
    <mergeCell ref="X779:Y779"/>
    <mergeCell ref="X780:Y780"/>
    <mergeCell ref="X781:Y781"/>
    <mergeCell ref="X782:Y782"/>
    <mergeCell ref="X783:Y783"/>
    <mergeCell ref="X784:Y784"/>
    <mergeCell ref="X785:Y785"/>
    <mergeCell ref="X786:Y786"/>
    <mergeCell ref="X787:Y787"/>
    <mergeCell ref="X788:Y788"/>
    <mergeCell ref="X755:Y755"/>
    <mergeCell ref="X756:Y756"/>
    <mergeCell ref="X757:Y757"/>
    <mergeCell ref="X758:Y758"/>
    <mergeCell ref="X759:Y759"/>
    <mergeCell ref="X760:Y760"/>
    <mergeCell ref="X761:Y761"/>
    <mergeCell ref="X762:Y762"/>
    <mergeCell ref="X763:Y763"/>
    <mergeCell ref="X764:Y764"/>
    <mergeCell ref="X765:Y765"/>
    <mergeCell ref="X766:Y766"/>
    <mergeCell ref="X767:Y767"/>
    <mergeCell ref="X768:Y768"/>
    <mergeCell ref="X769:Y769"/>
    <mergeCell ref="X770:Y770"/>
    <mergeCell ref="X771:Y771"/>
    <mergeCell ref="P939:Q939"/>
    <mergeCell ref="P940:Q940"/>
    <mergeCell ref="P941:Q941"/>
    <mergeCell ref="P942:Q942"/>
    <mergeCell ref="P943:Q943"/>
    <mergeCell ref="P944:Q944"/>
    <mergeCell ref="P945:Q945"/>
    <mergeCell ref="P946:Q946"/>
    <mergeCell ref="P947:Q947"/>
    <mergeCell ref="P948:Q948"/>
    <mergeCell ref="P949:Q949"/>
    <mergeCell ref="P950:Q950"/>
    <mergeCell ref="P951:Q951"/>
    <mergeCell ref="P952:Q952"/>
    <mergeCell ref="P953:Q953"/>
    <mergeCell ref="P954:Q954"/>
    <mergeCell ref="P955:Q955"/>
    <mergeCell ref="P922:Q922"/>
    <mergeCell ref="P923:Q923"/>
    <mergeCell ref="P924:Q924"/>
    <mergeCell ref="P925:Q925"/>
    <mergeCell ref="P926:Q926"/>
    <mergeCell ref="P927:Q927"/>
    <mergeCell ref="P928:Q928"/>
    <mergeCell ref="P929:Q929"/>
    <mergeCell ref="P930:Q930"/>
    <mergeCell ref="P931:Q931"/>
    <mergeCell ref="P932:Q932"/>
    <mergeCell ref="P933:Q933"/>
    <mergeCell ref="P934:Q934"/>
    <mergeCell ref="P935:Q935"/>
    <mergeCell ref="P936:Q936"/>
    <mergeCell ref="P937:Q937"/>
    <mergeCell ref="P938:Q938"/>
    <mergeCell ref="P983:Q983"/>
    <mergeCell ref="P984:Q984"/>
    <mergeCell ref="P985:Q985"/>
    <mergeCell ref="P986:Q986"/>
    <mergeCell ref="P987:Q987"/>
    <mergeCell ref="P988:Q988"/>
    <mergeCell ref="P989:Q989"/>
    <mergeCell ref="P990:Q990"/>
    <mergeCell ref="P998:Q998"/>
    <mergeCell ref="P999:Q999"/>
    <mergeCell ref="P1000:Q1000"/>
    <mergeCell ref="P991:Q991"/>
    <mergeCell ref="P992:Q992"/>
    <mergeCell ref="P993:Q993"/>
    <mergeCell ref="P994:Q994"/>
    <mergeCell ref="P995:Q995"/>
    <mergeCell ref="P996:Q996"/>
    <mergeCell ref="P997:Q997"/>
    <mergeCell ref="P966:Q966"/>
    <mergeCell ref="P967:Q967"/>
    <mergeCell ref="P968:Q968"/>
    <mergeCell ref="P969:Q969"/>
    <mergeCell ref="P970:Q970"/>
    <mergeCell ref="P971:Q971"/>
    <mergeCell ref="P972:Q972"/>
    <mergeCell ref="P973:Q973"/>
    <mergeCell ref="P974:Q974"/>
    <mergeCell ref="P975:Q975"/>
    <mergeCell ref="P976:Q976"/>
    <mergeCell ref="P977:Q977"/>
    <mergeCell ref="P978:Q978"/>
    <mergeCell ref="P979:Q979"/>
    <mergeCell ref="P980:Q980"/>
    <mergeCell ref="P981:Q981"/>
    <mergeCell ref="P982:Q982"/>
    <mergeCell ref="P900:Q900"/>
    <mergeCell ref="P901:Q901"/>
    <mergeCell ref="P902:Q902"/>
    <mergeCell ref="P903:Q903"/>
    <mergeCell ref="P904:Q904"/>
    <mergeCell ref="P905:Q905"/>
    <mergeCell ref="P906:Q906"/>
    <mergeCell ref="P956:Q956"/>
    <mergeCell ref="P957:Q957"/>
    <mergeCell ref="P958:Q958"/>
    <mergeCell ref="P959:Q959"/>
    <mergeCell ref="P960:Q960"/>
    <mergeCell ref="P961:Q961"/>
    <mergeCell ref="P962:Q962"/>
    <mergeCell ref="P963:Q963"/>
    <mergeCell ref="P964:Q964"/>
    <mergeCell ref="P965:Q965"/>
    <mergeCell ref="P907:Q907"/>
    <mergeCell ref="P908:Q908"/>
    <mergeCell ref="P909:Q909"/>
    <mergeCell ref="P910:Q910"/>
    <mergeCell ref="P911:Q911"/>
    <mergeCell ref="P912:Q912"/>
    <mergeCell ref="P913:Q913"/>
    <mergeCell ref="P914:Q914"/>
    <mergeCell ref="P915:Q915"/>
    <mergeCell ref="P916:Q916"/>
    <mergeCell ref="P917:Q917"/>
    <mergeCell ref="P918:Q918"/>
    <mergeCell ref="P919:Q919"/>
    <mergeCell ref="P920:Q920"/>
    <mergeCell ref="P921:Q921"/>
    <mergeCell ref="P883:Q883"/>
    <mergeCell ref="P884:Q884"/>
    <mergeCell ref="P885:Q885"/>
    <mergeCell ref="P886:Q886"/>
    <mergeCell ref="P887:Q887"/>
    <mergeCell ref="P888:Q888"/>
    <mergeCell ref="P889:Q889"/>
    <mergeCell ref="P890:Q890"/>
    <mergeCell ref="P891:Q891"/>
    <mergeCell ref="P892:Q892"/>
    <mergeCell ref="P893:Q893"/>
    <mergeCell ref="P894:Q894"/>
    <mergeCell ref="P895:Q895"/>
    <mergeCell ref="P896:Q896"/>
    <mergeCell ref="P897:Q897"/>
    <mergeCell ref="P898:Q898"/>
    <mergeCell ref="P899:Q899"/>
    <mergeCell ref="P866:Q866"/>
    <mergeCell ref="P867:Q867"/>
    <mergeCell ref="P868:Q868"/>
    <mergeCell ref="P869:Q869"/>
    <mergeCell ref="P870:Q870"/>
    <mergeCell ref="P871:Q871"/>
    <mergeCell ref="P872:Q872"/>
    <mergeCell ref="P873:Q873"/>
    <mergeCell ref="P874:Q874"/>
    <mergeCell ref="P875:Q875"/>
    <mergeCell ref="P876:Q876"/>
    <mergeCell ref="P877:Q877"/>
    <mergeCell ref="P878:Q878"/>
    <mergeCell ref="P879:Q879"/>
    <mergeCell ref="P880:Q880"/>
    <mergeCell ref="P881:Q881"/>
    <mergeCell ref="P882:Q882"/>
    <mergeCell ref="P849:Q849"/>
    <mergeCell ref="P850:Q850"/>
    <mergeCell ref="P851:Q851"/>
    <mergeCell ref="P852:Q852"/>
    <mergeCell ref="P853:Q853"/>
    <mergeCell ref="P854:Q854"/>
    <mergeCell ref="P855:Q855"/>
    <mergeCell ref="P856:Q856"/>
    <mergeCell ref="P857:Q857"/>
    <mergeCell ref="P858:Q858"/>
    <mergeCell ref="P859:Q859"/>
    <mergeCell ref="P860:Q860"/>
    <mergeCell ref="P861:Q861"/>
    <mergeCell ref="P862:Q862"/>
    <mergeCell ref="P863:Q863"/>
    <mergeCell ref="P864:Q864"/>
    <mergeCell ref="P865:Q865"/>
    <mergeCell ref="P832:Q832"/>
    <mergeCell ref="P833:Q833"/>
    <mergeCell ref="P834:Q834"/>
    <mergeCell ref="P835:Q835"/>
    <mergeCell ref="P836:Q836"/>
    <mergeCell ref="P837:Q837"/>
    <mergeCell ref="P838:Q838"/>
    <mergeCell ref="P839:Q839"/>
    <mergeCell ref="P840:Q840"/>
    <mergeCell ref="P841:Q841"/>
    <mergeCell ref="P842:Q842"/>
    <mergeCell ref="P843:Q843"/>
    <mergeCell ref="P844:Q844"/>
    <mergeCell ref="P845:Q845"/>
    <mergeCell ref="P846:Q846"/>
    <mergeCell ref="P847:Q847"/>
    <mergeCell ref="P848:Q848"/>
    <mergeCell ref="P815:Q815"/>
    <mergeCell ref="P816:Q816"/>
    <mergeCell ref="P817:Q817"/>
    <mergeCell ref="P818:Q818"/>
    <mergeCell ref="P819:Q819"/>
    <mergeCell ref="P820:Q820"/>
    <mergeCell ref="P821:Q821"/>
    <mergeCell ref="P822:Q822"/>
    <mergeCell ref="P823:Q823"/>
    <mergeCell ref="P824:Q824"/>
    <mergeCell ref="P825:Q825"/>
    <mergeCell ref="P826:Q826"/>
    <mergeCell ref="P827:Q827"/>
    <mergeCell ref="P828:Q828"/>
    <mergeCell ref="P829:Q829"/>
    <mergeCell ref="P830:Q830"/>
    <mergeCell ref="P831:Q831"/>
    <mergeCell ref="P798:Q798"/>
    <mergeCell ref="P799:Q799"/>
    <mergeCell ref="P800:Q800"/>
    <mergeCell ref="P801:Q801"/>
    <mergeCell ref="P802:Q802"/>
    <mergeCell ref="P803:Q803"/>
    <mergeCell ref="P804:Q804"/>
    <mergeCell ref="P805:Q805"/>
    <mergeCell ref="P806:Q806"/>
    <mergeCell ref="P807:Q807"/>
    <mergeCell ref="P808:Q808"/>
    <mergeCell ref="P809:Q809"/>
    <mergeCell ref="P810:Q810"/>
    <mergeCell ref="P811:Q811"/>
    <mergeCell ref="P812:Q812"/>
    <mergeCell ref="P813:Q813"/>
    <mergeCell ref="P814:Q814"/>
    <mergeCell ref="P781:Q781"/>
    <mergeCell ref="P782:Q782"/>
    <mergeCell ref="P783:Q783"/>
    <mergeCell ref="P784:Q784"/>
    <mergeCell ref="P785:Q785"/>
    <mergeCell ref="P786:Q786"/>
    <mergeCell ref="P787:Q787"/>
    <mergeCell ref="P788:Q788"/>
    <mergeCell ref="P789:Q789"/>
    <mergeCell ref="P790:Q790"/>
    <mergeCell ref="P791:Q791"/>
    <mergeCell ref="P792:Q792"/>
    <mergeCell ref="P793:Q793"/>
    <mergeCell ref="P794:Q794"/>
    <mergeCell ref="P795:Q795"/>
    <mergeCell ref="P796:Q796"/>
    <mergeCell ref="P797:Q797"/>
    <mergeCell ref="P764:Q764"/>
    <mergeCell ref="P765:Q765"/>
    <mergeCell ref="P766:Q766"/>
    <mergeCell ref="P767:Q767"/>
    <mergeCell ref="P768:Q768"/>
    <mergeCell ref="P769:Q769"/>
    <mergeCell ref="P770:Q770"/>
    <mergeCell ref="P771:Q771"/>
    <mergeCell ref="P772:Q772"/>
    <mergeCell ref="P773:Q773"/>
    <mergeCell ref="P774:Q774"/>
    <mergeCell ref="P775:Q775"/>
    <mergeCell ref="P776:Q776"/>
    <mergeCell ref="P777:Q777"/>
    <mergeCell ref="P778:Q778"/>
    <mergeCell ref="P779:Q779"/>
    <mergeCell ref="P780:Q780"/>
    <mergeCell ref="P747:Q747"/>
    <mergeCell ref="P748:Q748"/>
    <mergeCell ref="P749:Q749"/>
    <mergeCell ref="P750:Q750"/>
    <mergeCell ref="P751:Q751"/>
    <mergeCell ref="P752:Q752"/>
    <mergeCell ref="P753:Q753"/>
    <mergeCell ref="P754:Q754"/>
    <mergeCell ref="P755:Q755"/>
    <mergeCell ref="P756:Q756"/>
    <mergeCell ref="P757:Q757"/>
    <mergeCell ref="P758:Q758"/>
    <mergeCell ref="P759:Q759"/>
    <mergeCell ref="P760:Q760"/>
    <mergeCell ref="P761:Q761"/>
    <mergeCell ref="P762:Q762"/>
    <mergeCell ref="P763:Q763"/>
    <mergeCell ref="P730:Q730"/>
    <mergeCell ref="P731:Q731"/>
    <mergeCell ref="P732:Q732"/>
    <mergeCell ref="P733:Q733"/>
    <mergeCell ref="P734:Q734"/>
    <mergeCell ref="P735:Q735"/>
    <mergeCell ref="P736:Q736"/>
    <mergeCell ref="P737:Q737"/>
    <mergeCell ref="P738:Q738"/>
    <mergeCell ref="P739:Q739"/>
    <mergeCell ref="P740:Q740"/>
    <mergeCell ref="P741:Q741"/>
    <mergeCell ref="P742:Q742"/>
    <mergeCell ref="P743:Q743"/>
    <mergeCell ref="P744:Q744"/>
    <mergeCell ref="P745:Q745"/>
    <mergeCell ref="P746:Q746"/>
    <mergeCell ref="P713:Q713"/>
    <mergeCell ref="P714:Q714"/>
    <mergeCell ref="P715:Q715"/>
    <mergeCell ref="P716:Q716"/>
    <mergeCell ref="P717:Q717"/>
    <mergeCell ref="P718:Q718"/>
    <mergeCell ref="P719:Q719"/>
    <mergeCell ref="P720:Q720"/>
    <mergeCell ref="P721:Q721"/>
    <mergeCell ref="P722:Q722"/>
    <mergeCell ref="P723:Q723"/>
    <mergeCell ref="P724:Q724"/>
    <mergeCell ref="P725:Q725"/>
    <mergeCell ref="P726:Q726"/>
    <mergeCell ref="P727:Q727"/>
    <mergeCell ref="P728:Q728"/>
    <mergeCell ref="P729:Q729"/>
    <mergeCell ref="P696:Q696"/>
    <mergeCell ref="P697:Q697"/>
    <mergeCell ref="P698:Q698"/>
    <mergeCell ref="P699:Q699"/>
    <mergeCell ref="P700:Q700"/>
    <mergeCell ref="P701:Q701"/>
    <mergeCell ref="P702:Q702"/>
    <mergeCell ref="P703:Q703"/>
    <mergeCell ref="P704:Q704"/>
    <mergeCell ref="P705:Q705"/>
    <mergeCell ref="P706:Q706"/>
    <mergeCell ref="P707:Q707"/>
    <mergeCell ref="P708:Q708"/>
    <mergeCell ref="P709:Q709"/>
    <mergeCell ref="P710:Q710"/>
    <mergeCell ref="P711:Q711"/>
    <mergeCell ref="P712:Q712"/>
    <mergeCell ref="P679:Q679"/>
    <mergeCell ref="P680:Q680"/>
    <mergeCell ref="P681:Q681"/>
    <mergeCell ref="P682:Q682"/>
    <mergeCell ref="P683:Q683"/>
    <mergeCell ref="P684:Q684"/>
    <mergeCell ref="P685:Q685"/>
    <mergeCell ref="P686:Q686"/>
    <mergeCell ref="P687:Q687"/>
    <mergeCell ref="P688:Q688"/>
    <mergeCell ref="P689:Q689"/>
    <mergeCell ref="P690:Q690"/>
    <mergeCell ref="P691:Q691"/>
    <mergeCell ref="P692:Q692"/>
    <mergeCell ref="P693:Q693"/>
    <mergeCell ref="P694:Q694"/>
    <mergeCell ref="P695:Q695"/>
    <mergeCell ref="P662:Q662"/>
    <mergeCell ref="P663:Q663"/>
    <mergeCell ref="P664:Q664"/>
    <mergeCell ref="P665:Q665"/>
    <mergeCell ref="P666:Q666"/>
    <mergeCell ref="P667:Q667"/>
    <mergeCell ref="P668:Q668"/>
    <mergeCell ref="P669:Q669"/>
    <mergeCell ref="P670:Q670"/>
    <mergeCell ref="P671:Q671"/>
    <mergeCell ref="P672:Q672"/>
    <mergeCell ref="P673:Q673"/>
    <mergeCell ref="P674:Q674"/>
    <mergeCell ref="P675:Q675"/>
    <mergeCell ref="P676:Q676"/>
    <mergeCell ref="P677:Q677"/>
    <mergeCell ref="P678:Q678"/>
    <mergeCell ref="P645:Q645"/>
    <mergeCell ref="P646:Q646"/>
    <mergeCell ref="P647:Q647"/>
    <mergeCell ref="P648:Q648"/>
    <mergeCell ref="P649:Q649"/>
    <mergeCell ref="P650:Q650"/>
    <mergeCell ref="P651:Q651"/>
    <mergeCell ref="P652:Q652"/>
    <mergeCell ref="P653:Q653"/>
    <mergeCell ref="P654:Q654"/>
    <mergeCell ref="P655:Q655"/>
    <mergeCell ref="P656:Q656"/>
    <mergeCell ref="P657:Q657"/>
    <mergeCell ref="P658:Q658"/>
    <mergeCell ref="P659:Q659"/>
    <mergeCell ref="P660:Q660"/>
    <mergeCell ref="P661:Q661"/>
    <mergeCell ref="P628:Q628"/>
    <mergeCell ref="P629:Q629"/>
    <mergeCell ref="P630:Q630"/>
    <mergeCell ref="P631:Q631"/>
    <mergeCell ref="P632:Q632"/>
    <mergeCell ref="P633:Q633"/>
    <mergeCell ref="P634:Q634"/>
    <mergeCell ref="P635:Q635"/>
    <mergeCell ref="P636:Q636"/>
    <mergeCell ref="P637:Q637"/>
    <mergeCell ref="P638:Q638"/>
    <mergeCell ref="P639:Q639"/>
    <mergeCell ref="P640:Q640"/>
    <mergeCell ref="P641:Q641"/>
    <mergeCell ref="P642:Q642"/>
    <mergeCell ref="P643:Q643"/>
    <mergeCell ref="P644:Q644"/>
    <mergeCell ref="X521:Y521"/>
    <mergeCell ref="X522:Y522"/>
    <mergeCell ref="P613:Q613"/>
    <mergeCell ref="P614:Q614"/>
    <mergeCell ref="P615:Q615"/>
    <mergeCell ref="P616:Q616"/>
    <mergeCell ref="P617:Q617"/>
    <mergeCell ref="P618:Q618"/>
    <mergeCell ref="P619:Q619"/>
    <mergeCell ref="P620:Q620"/>
    <mergeCell ref="P621:Q621"/>
    <mergeCell ref="P622:Q622"/>
    <mergeCell ref="P623:Q623"/>
    <mergeCell ref="P624:Q624"/>
    <mergeCell ref="P625:Q625"/>
    <mergeCell ref="P626:Q626"/>
    <mergeCell ref="P627:Q627"/>
    <mergeCell ref="P537:Q537"/>
    <mergeCell ref="P538:Q538"/>
    <mergeCell ref="P539:Q539"/>
    <mergeCell ref="P540:Q540"/>
    <mergeCell ref="P541:Q541"/>
    <mergeCell ref="P542:Q542"/>
    <mergeCell ref="P543:Q543"/>
    <mergeCell ref="P544:Q544"/>
    <mergeCell ref="P545:Q545"/>
    <mergeCell ref="P546:Q546"/>
    <mergeCell ref="P547:Q547"/>
    <mergeCell ref="P548:Q548"/>
    <mergeCell ref="P549:Q549"/>
    <mergeCell ref="P550:Q550"/>
    <mergeCell ref="P551:Q551"/>
    <mergeCell ref="X504:Y504"/>
    <mergeCell ref="X505:Y505"/>
    <mergeCell ref="X506:Y506"/>
    <mergeCell ref="X507:Y507"/>
    <mergeCell ref="X508:Y508"/>
    <mergeCell ref="X509:Y509"/>
    <mergeCell ref="X510:Y510"/>
    <mergeCell ref="X511:Y511"/>
    <mergeCell ref="X512:Y512"/>
    <mergeCell ref="X513:Y513"/>
    <mergeCell ref="X514:Y514"/>
    <mergeCell ref="X515:Y515"/>
    <mergeCell ref="X516:Y516"/>
    <mergeCell ref="X517:Y517"/>
    <mergeCell ref="X518:Y518"/>
    <mergeCell ref="X519:Y519"/>
    <mergeCell ref="X520:Y520"/>
    <mergeCell ref="X487:Y487"/>
    <mergeCell ref="X488:Y488"/>
    <mergeCell ref="X489:Y489"/>
    <mergeCell ref="X490:Y490"/>
    <mergeCell ref="X491:Y491"/>
    <mergeCell ref="X492:Y492"/>
    <mergeCell ref="X493:Y493"/>
    <mergeCell ref="X494:Y494"/>
    <mergeCell ref="X495:Y495"/>
    <mergeCell ref="X496:Y496"/>
    <mergeCell ref="X497:Y497"/>
    <mergeCell ref="X498:Y498"/>
    <mergeCell ref="X499:Y499"/>
    <mergeCell ref="X500:Y500"/>
    <mergeCell ref="X501:Y501"/>
    <mergeCell ref="X502:Y502"/>
    <mergeCell ref="X503:Y503"/>
    <mergeCell ref="X470:Y470"/>
    <mergeCell ref="X471:Y471"/>
    <mergeCell ref="X472:Y472"/>
    <mergeCell ref="X473:Y473"/>
    <mergeCell ref="X474:Y474"/>
    <mergeCell ref="X475:Y475"/>
    <mergeCell ref="X476:Y476"/>
    <mergeCell ref="X477:Y477"/>
    <mergeCell ref="X478:Y478"/>
    <mergeCell ref="X479:Y479"/>
    <mergeCell ref="X480:Y480"/>
    <mergeCell ref="X481:Y481"/>
    <mergeCell ref="X482:Y482"/>
    <mergeCell ref="X483:Y483"/>
    <mergeCell ref="X484:Y484"/>
    <mergeCell ref="X485:Y485"/>
    <mergeCell ref="X486:Y486"/>
    <mergeCell ref="X453:Y453"/>
    <mergeCell ref="X454:Y454"/>
    <mergeCell ref="X455:Y455"/>
    <mergeCell ref="X456:Y456"/>
    <mergeCell ref="X457:Y457"/>
    <mergeCell ref="X458:Y458"/>
    <mergeCell ref="X459:Y459"/>
    <mergeCell ref="X460:Y460"/>
    <mergeCell ref="X461:Y461"/>
    <mergeCell ref="X462:Y462"/>
    <mergeCell ref="X463:Y463"/>
    <mergeCell ref="X464:Y464"/>
    <mergeCell ref="X465:Y465"/>
    <mergeCell ref="X466:Y466"/>
    <mergeCell ref="X467:Y467"/>
    <mergeCell ref="X468:Y468"/>
    <mergeCell ref="X469:Y469"/>
    <mergeCell ref="X436:Y436"/>
    <mergeCell ref="X437:Y437"/>
    <mergeCell ref="X438:Y438"/>
    <mergeCell ref="X439:Y439"/>
    <mergeCell ref="X440:Y440"/>
    <mergeCell ref="X441:Y441"/>
    <mergeCell ref="X442:Y442"/>
    <mergeCell ref="X443:Y443"/>
    <mergeCell ref="X444:Y444"/>
    <mergeCell ref="X445:Y445"/>
    <mergeCell ref="X446:Y446"/>
    <mergeCell ref="X447:Y447"/>
    <mergeCell ref="X448:Y448"/>
    <mergeCell ref="X449:Y449"/>
    <mergeCell ref="X450:Y450"/>
    <mergeCell ref="X451:Y451"/>
    <mergeCell ref="X452:Y452"/>
    <mergeCell ref="X419:Y419"/>
    <mergeCell ref="X420:Y420"/>
    <mergeCell ref="X421:Y421"/>
    <mergeCell ref="X422:Y422"/>
    <mergeCell ref="X423:Y423"/>
    <mergeCell ref="X424:Y424"/>
    <mergeCell ref="X425:Y425"/>
    <mergeCell ref="X426:Y426"/>
    <mergeCell ref="X427:Y427"/>
    <mergeCell ref="X428:Y428"/>
    <mergeCell ref="X429:Y429"/>
    <mergeCell ref="X430:Y430"/>
    <mergeCell ref="X431:Y431"/>
    <mergeCell ref="X432:Y432"/>
    <mergeCell ref="X433:Y433"/>
    <mergeCell ref="X434:Y434"/>
    <mergeCell ref="X435:Y435"/>
    <mergeCell ref="X402:Y402"/>
    <mergeCell ref="X403:Y403"/>
    <mergeCell ref="X404:Y404"/>
    <mergeCell ref="X405:Y405"/>
    <mergeCell ref="X406:Y406"/>
    <mergeCell ref="X407:Y407"/>
    <mergeCell ref="X408:Y408"/>
    <mergeCell ref="X409:Y409"/>
    <mergeCell ref="X410:Y410"/>
    <mergeCell ref="X411:Y411"/>
    <mergeCell ref="X412:Y412"/>
    <mergeCell ref="X413:Y413"/>
    <mergeCell ref="X414:Y414"/>
    <mergeCell ref="X415:Y415"/>
    <mergeCell ref="X416:Y416"/>
    <mergeCell ref="X417:Y417"/>
    <mergeCell ref="X418:Y418"/>
    <mergeCell ref="X385:Y385"/>
    <mergeCell ref="X386:Y386"/>
    <mergeCell ref="X387:Y387"/>
    <mergeCell ref="X388:Y388"/>
    <mergeCell ref="X389:Y389"/>
    <mergeCell ref="X390:Y390"/>
    <mergeCell ref="X391:Y391"/>
    <mergeCell ref="X392:Y392"/>
    <mergeCell ref="X393:Y393"/>
    <mergeCell ref="X394:Y394"/>
    <mergeCell ref="X395:Y395"/>
    <mergeCell ref="X396:Y396"/>
    <mergeCell ref="X397:Y397"/>
    <mergeCell ref="X398:Y398"/>
    <mergeCell ref="X399:Y399"/>
    <mergeCell ref="X400:Y400"/>
    <mergeCell ref="X401:Y401"/>
    <mergeCell ref="X368:Y368"/>
    <mergeCell ref="X369:Y369"/>
    <mergeCell ref="X370:Y370"/>
    <mergeCell ref="X371:Y371"/>
    <mergeCell ref="X372:Y372"/>
    <mergeCell ref="X373:Y373"/>
    <mergeCell ref="X374:Y374"/>
    <mergeCell ref="X375:Y375"/>
    <mergeCell ref="X376:Y376"/>
    <mergeCell ref="X377:Y377"/>
    <mergeCell ref="X378:Y378"/>
    <mergeCell ref="X379:Y379"/>
    <mergeCell ref="X380:Y380"/>
    <mergeCell ref="X381:Y381"/>
    <mergeCell ref="X382:Y382"/>
    <mergeCell ref="X383:Y383"/>
    <mergeCell ref="X384:Y384"/>
    <mergeCell ref="X351:Y351"/>
    <mergeCell ref="X352:Y352"/>
    <mergeCell ref="X353:Y353"/>
    <mergeCell ref="X354:Y354"/>
    <mergeCell ref="X355:Y355"/>
    <mergeCell ref="X356:Y356"/>
    <mergeCell ref="X357:Y357"/>
    <mergeCell ref="X358:Y358"/>
    <mergeCell ref="X359:Y359"/>
    <mergeCell ref="X360:Y360"/>
    <mergeCell ref="X361:Y361"/>
    <mergeCell ref="X362:Y362"/>
    <mergeCell ref="X363:Y363"/>
    <mergeCell ref="X364:Y364"/>
    <mergeCell ref="X365:Y365"/>
    <mergeCell ref="X366:Y366"/>
    <mergeCell ref="X367:Y367"/>
    <mergeCell ref="X334:Y334"/>
    <mergeCell ref="X335:Y335"/>
    <mergeCell ref="X336:Y336"/>
    <mergeCell ref="X337:Y337"/>
    <mergeCell ref="X338:Y338"/>
    <mergeCell ref="X339:Y339"/>
    <mergeCell ref="X340:Y340"/>
    <mergeCell ref="X341:Y341"/>
    <mergeCell ref="X342:Y342"/>
    <mergeCell ref="X343:Y343"/>
    <mergeCell ref="X344:Y344"/>
    <mergeCell ref="X345:Y345"/>
    <mergeCell ref="X346:Y346"/>
    <mergeCell ref="X347:Y347"/>
    <mergeCell ref="X348:Y348"/>
    <mergeCell ref="X349:Y349"/>
    <mergeCell ref="X350:Y350"/>
    <mergeCell ref="X317:Y317"/>
    <mergeCell ref="X318:Y318"/>
    <mergeCell ref="X319:Y319"/>
    <mergeCell ref="X320:Y320"/>
    <mergeCell ref="X321:Y321"/>
    <mergeCell ref="X322:Y322"/>
    <mergeCell ref="X323:Y323"/>
    <mergeCell ref="X324:Y324"/>
    <mergeCell ref="X325:Y325"/>
    <mergeCell ref="X326:Y326"/>
    <mergeCell ref="X327:Y327"/>
    <mergeCell ref="X328:Y328"/>
    <mergeCell ref="X329:Y329"/>
    <mergeCell ref="X330:Y330"/>
    <mergeCell ref="X331:Y331"/>
    <mergeCell ref="X332:Y332"/>
    <mergeCell ref="X333:Y333"/>
    <mergeCell ref="X300:Y300"/>
    <mergeCell ref="X301:Y301"/>
    <mergeCell ref="X302:Y302"/>
    <mergeCell ref="X303:Y303"/>
    <mergeCell ref="X304:Y304"/>
    <mergeCell ref="X305:Y305"/>
    <mergeCell ref="X306:Y306"/>
    <mergeCell ref="X307:Y307"/>
    <mergeCell ref="X308:Y308"/>
    <mergeCell ref="X309:Y309"/>
    <mergeCell ref="X310:Y310"/>
    <mergeCell ref="X311:Y311"/>
    <mergeCell ref="X312:Y312"/>
    <mergeCell ref="X313:Y313"/>
    <mergeCell ref="X314:Y314"/>
    <mergeCell ref="X315:Y315"/>
    <mergeCell ref="X316:Y316"/>
    <mergeCell ref="X283:Y283"/>
    <mergeCell ref="X284:Y284"/>
    <mergeCell ref="X285:Y285"/>
    <mergeCell ref="X286:Y286"/>
    <mergeCell ref="X287:Y287"/>
    <mergeCell ref="X288:Y288"/>
    <mergeCell ref="X289:Y289"/>
    <mergeCell ref="X290:Y290"/>
    <mergeCell ref="X291:Y291"/>
    <mergeCell ref="X292:Y292"/>
    <mergeCell ref="X293:Y293"/>
    <mergeCell ref="X294:Y294"/>
    <mergeCell ref="X295:Y295"/>
    <mergeCell ref="X296:Y296"/>
    <mergeCell ref="X297:Y297"/>
    <mergeCell ref="X298:Y298"/>
    <mergeCell ref="X299:Y299"/>
    <mergeCell ref="X266:Y266"/>
    <mergeCell ref="X267:Y267"/>
    <mergeCell ref="X268:Y268"/>
    <mergeCell ref="X269:Y269"/>
    <mergeCell ref="X270:Y270"/>
    <mergeCell ref="X271:Y271"/>
    <mergeCell ref="X272:Y272"/>
    <mergeCell ref="X273:Y273"/>
    <mergeCell ref="X274:Y274"/>
    <mergeCell ref="X275:Y275"/>
    <mergeCell ref="X276:Y276"/>
    <mergeCell ref="X277:Y277"/>
    <mergeCell ref="X278:Y278"/>
    <mergeCell ref="X279:Y279"/>
    <mergeCell ref="X280:Y280"/>
    <mergeCell ref="X281:Y281"/>
    <mergeCell ref="X282:Y282"/>
    <mergeCell ref="X249:Y249"/>
    <mergeCell ref="X250:Y250"/>
    <mergeCell ref="X251:Y251"/>
    <mergeCell ref="X252:Y252"/>
    <mergeCell ref="X253:Y253"/>
    <mergeCell ref="X254:Y254"/>
    <mergeCell ref="X255:Y255"/>
    <mergeCell ref="X256:Y256"/>
    <mergeCell ref="X257:Y257"/>
    <mergeCell ref="X258:Y258"/>
    <mergeCell ref="X259:Y259"/>
    <mergeCell ref="X260:Y260"/>
    <mergeCell ref="X261:Y261"/>
    <mergeCell ref="X262:Y262"/>
    <mergeCell ref="X263:Y263"/>
    <mergeCell ref="X264:Y264"/>
    <mergeCell ref="X265:Y265"/>
    <mergeCell ref="X232:Y232"/>
    <mergeCell ref="X233:Y233"/>
    <mergeCell ref="X234:Y234"/>
    <mergeCell ref="X235:Y235"/>
    <mergeCell ref="X236:Y236"/>
    <mergeCell ref="X237:Y237"/>
    <mergeCell ref="X238:Y238"/>
    <mergeCell ref="X239:Y239"/>
    <mergeCell ref="X240:Y240"/>
    <mergeCell ref="X241:Y241"/>
    <mergeCell ref="X242:Y242"/>
    <mergeCell ref="X243:Y243"/>
    <mergeCell ref="X244:Y244"/>
    <mergeCell ref="X245:Y245"/>
    <mergeCell ref="X246:Y246"/>
    <mergeCell ref="X247:Y247"/>
    <mergeCell ref="X248:Y248"/>
    <mergeCell ref="X215:Y215"/>
    <mergeCell ref="X216:Y216"/>
    <mergeCell ref="X217:Y217"/>
    <mergeCell ref="X218:Y218"/>
    <mergeCell ref="X219:Y219"/>
    <mergeCell ref="X220:Y220"/>
    <mergeCell ref="X221:Y221"/>
    <mergeCell ref="X222:Y222"/>
    <mergeCell ref="X223:Y223"/>
    <mergeCell ref="X224:Y224"/>
    <mergeCell ref="X225:Y225"/>
    <mergeCell ref="X226:Y226"/>
    <mergeCell ref="X227:Y227"/>
    <mergeCell ref="X228:Y228"/>
    <mergeCell ref="X229:Y229"/>
    <mergeCell ref="X230:Y230"/>
    <mergeCell ref="X231:Y231"/>
    <mergeCell ref="X198:Y198"/>
    <mergeCell ref="X199:Y199"/>
    <mergeCell ref="X200:Y200"/>
    <mergeCell ref="X201:Y201"/>
    <mergeCell ref="X202:Y202"/>
    <mergeCell ref="X203:Y203"/>
    <mergeCell ref="X204:Y204"/>
    <mergeCell ref="X205:Y205"/>
    <mergeCell ref="X206:Y206"/>
    <mergeCell ref="X207:Y207"/>
    <mergeCell ref="X208:Y208"/>
    <mergeCell ref="X209:Y209"/>
    <mergeCell ref="X210:Y210"/>
    <mergeCell ref="X211:Y211"/>
    <mergeCell ref="X212:Y212"/>
    <mergeCell ref="X213:Y213"/>
    <mergeCell ref="X214:Y214"/>
    <mergeCell ref="X558:Y558"/>
    <mergeCell ref="X559:Y559"/>
    <mergeCell ref="X560:Y560"/>
    <mergeCell ref="X561:Y561"/>
    <mergeCell ref="X562:Y562"/>
    <mergeCell ref="X563:Y563"/>
    <mergeCell ref="X564:Y564"/>
    <mergeCell ref="X565:Y565"/>
    <mergeCell ref="X566:Y566"/>
    <mergeCell ref="X567:Y567"/>
    <mergeCell ref="X568:Y568"/>
    <mergeCell ref="X569:Y569"/>
    <mergeCell ref="X570:Y570"/>
    <mergeCell ref="X571:Y571"/>
    <mergeCell ref="X180:Y180"/>
    <mergeCell ref="X181:Y181"/>
    <mergeCell ref="X182:Y182"/>
    <mergeCell ref="X183:Y183"/>
    <mergeCell ref="X184:Y184"/>
    <mergeCell ref="X185:Y185"/>
    <mergeCell ref="X186:Y186"/>
    <mergeCell ref="X187:Y187"/>
    <mergeCell ref="X188:Y188"/>
    <mergeCell ref="X189:Y189"/>
    <mergeCell ref="X190:Y190"/>
    <mergeCell ref="X191:Y191"/>
    <mergeCell ref="X192:Y192"/>
    <mergeCell ref="X193:Y193"/>
    <mergeCell ref="X194:Y194"/>
    <mergeCell ref="X195:Y195"/>
    <mergeCell ref="X196:Y196"/>
    <mergeCell ref="X197:Y197"/>
    <mergeCell ref="X541:Y541"/>
    <mergeCell ref="X542:Y542"/>
    <mergeCell ref="X543:Y543"/>
    <mergeCell ref="X544:Y544"/>
    <mergeCell ref="X545:Y545"/>
    <mergeCell ref="X546:Y546"/>
    <mergeCell ref="X547:Y547"/>
    <mergeCell ref="X548:Y548"/>
    <mergeCell ref="X549:Y549"/>
    <mergeCell ref="X550:Y550"/>
    <mergeCell ref="X551:Y551"/>
    <mergeCell ref="X552:Y552"/>
    <mergeCell ref="X553:Y553"/>
    <mergeCell ref="X554:Y554"/>
    <mergeCell ref="X555:Y555"/>
    <mergeCell ref="X556:Y556"/>
    <mergeCell ref="X557:Y557"/>
    <mergeCell ref="A883:B883"/>
    <mergeCell ref="A884:B884"/>
    <mergeCell ref="A885:B885"/>
    <mergeCell ref="A886:B886"/>
    <mergeCell ref="A887:B887"/>
    <mergeCell ref="X579:Y579"/>
    <mergeCell ref="X580:Y580"/>
    <mergeCell ref="X572:Y572"/>
    <mergeCell ref="X573:Y573"/>
    <mergeCell ref="X574:Y574"/>
    <mergeCell ref="X575:Y575"/>
    <mergeCell ref="X576:Y576"/>
    <mergeCell ref="X577:Y577"/>
    <mergeCell ref="X578:Y578"/>
    <mergeCell ref="X523:Y523"/>
    <mergeCell ref="X524:Y524"/>
    <mergeCell ref="X525:Y525"/>
    <mergeCell ref="X526:Y526"/>
    <mergeCell ref="X527:Y527"/>
    <mergeCell ref="X528:Y528"/>
    <mergeCell ref="X529:Y529"/>
    <mergeCell ref="X530:Y530"/>
    <mergeCell ref="X531:Y531"/>
    <mergeCell ref="X532:Y532"/>
    <mergeCell ref="X533:Y533"/>
    <mergeCell ref="X534:Y534"/>
    <mergeCell ref="X535:Y535"/>
    <mergeCell ref="X536:Y536"/>
    <mergeCell ref="X537:Y537"/>
    <mergeCell ref="X538:Y538"/>
    <mergeCell ref="X539:Y539"/>
    <mergeCell ref="X540:Y540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35:B935"/>
    <mergeCell ref="A936:B936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986:B986"/>
    <mergeCell ref="A987:B987"/>
    <mergeCell ref="A988:B988"/>
    <mergeCell ref="A989:B989"/>
    <mergeCell ref="A990:B990"/>
    <mergeCell ref="A991:B991"/>
    <mergeCell ref="A992:B992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H683:I683"/>
    <mergeCell ref="H684:I684"/>
    <mergeCell ref="H685:I685"/>
    <mergeCell ref="H686:I686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H666:I666"/>
    <mergeCell ref="H667:I667"/>
    <mergeCell ref="H668:I668"/>
    <mergeCell ref="H669:I669"/>
    <mergeCell ref="H670:I670"/>
    <mergeCell ref="H671:I671"/>
    <mergeCell ref="H672:I672"/>
    <mergeCell ref="H673:I673"/>
    <mergeCell ref="H674:I674"/>
    <mergeCell ref="H675:I675"/>
    <mergeCell ref="H676:I676"/>
    <mergeCell ref="H677:I677"/>
    <mergeCell ref="H678:I678"/>
    <mergeCell ref="H679:I679"/>
    <mergeCell ref="H680:I680"/>
    <mergeCell ref="H681:I681"/>
    <mergeCell ref="H682:I682"/>
    <mergeCell ref="H649:I649"/>
    <mergeCell ref="H650:I650"/>
    <mergeCell ref="H651:I651"/>
    <mergeCell ref="H652:I652"/>
    <mergeCell ref="H653:I653"/>
    <mergeCell ref="H654:I654"/>
    <mergeCell ref="H655:I655"/>
    <mergeCell ref="H656:I656"/>
    <mergeCell ref="H657:I657"/>
    <mergeCell ref="H658:I658"/>
    <mergeCell ref="H659:I659"/>
    <mergeCell ref="H660:I660"/>
    <mergeCell ref="H661:I661"/>
    <mergeCell ref="H662:I662"/>
    <mergeCell ref="H663:I663"/>
    <mergeCell ref="H664:I664"/>
    <mergeCell ref="H665:I665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  <mergeCell ref="H648:I648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967:I967"/>
    <mergeCell ref="H968:I968"/>
    <mergeCell ref="H969:I969"/>
    <mergeCell ref="H970:I970"/>
    <mergeCell ref="H971:I971"/>
    <mergeCell ref="H972:I972"/>
    <mergeCell ref="H973:I973"/>
    <mergeCell ref="H974:I974"/>
    <mergeCell ref="H975:I975"/>
    <mergeCell ref="H976:I976"/>
    <mergeCell ref="H977:I977"/>
    <mergeCell ref="H978:I978"/>
    <mergeCell ref="H979:I979"/>
    <mergeCell ref="H980:I980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996:I996"/>
    <mergeCell ref="H997:I997"/>
    <mergeCell ref="H998:I998"/>
    <mergeCell ref="H999:I999"/>
    <mergeCell ref="H1000:I1000"/>
    <mergeCell ref="H988:I988"/>
    <mergeCell ref="H989:I989"/>
    <mergeCell ref="H990:I990"/>
    <mergeCell ref="H991:I991"/>
    <mergeCell ref="H992:I992"/>
    <mergeCell ref="H993:I993"/>
    <mergeCell ref="H994:I994"/>
    <mergeCell ref="H932:I932"/>
    <mergeCell ref="H933:I933"/>
    <mergeCell ref="H934:I934"/>
    <mergeCell ref="H935:I935"/>
    <mergeCell ref="H936:I936"/>
    <mergeCell ref="H937:I937"/>
    <mergeCell ref="H938:I938"/>
    <mergeCell ref="H939:I939"/>
    <mergeCell ref="H940:I940"/>
    <mergeCell ref="H941:I941"/>
    <mergeCell ref="H942:I942"/>
    <mergeCell ref="H943:I943"/>
    <mergeCell ref="H944:I944"/>
    <mergeCell ref="H945:I945"/>
    <mergeCell ref="H946:I946"/>
    <mergeCell ref="H947:I947"/>
    <mergeCell ref="H948:I948"/>
    <mergeCell ref="H949:I949"/>
    <mergeCell ref="H950:I950"/>
    <mergeCell ref="H951:I951"/>
    <mergeCell ref="H923:I923"/>
    <mergeCell ref="H924:I924"/>
    <mergeCell ref="H925:I925"/>
    <mergeCell ref="H926:I926"/>
    <mergeCell ref="H927:I927"/>
    <mergeCell ref="H928:I928"/>
    <mergeCell ref="H929:I929"/>
    <mergeCell ref="H930:I930"/>
    <mergeCell ref="H931:I931"/>
    <mergeCell ref="H981:I981"/>
    <mergeCell ref="H982:I982"/>
    <mergeCell ref="H983:I983"/>
    <mergeCell ref="H984:I984"/>
    <mergeCell ref="H985:I985"/>
    <mergeCell ref="H986:I986"/>
    <mergeCell ref="H987:I987"/>
    <mergeCell ref="H995:I995"/>
    <mergeCell ref="H952:I952"/>
    <mergeCell ref="H953:I953"/>
    <mergeCell ref="H954:I954"/>
    <mergeCell ref="H955:I955"/>
    <mergeCell ref="H956:I956"/>
    <mergeCell ref="H957:I957"/>
    <mergeCell ref="H958:I958"/>
    <mergeCell ref="H959:I959"/>
    <mergeCell ref="H960:I960"/>
    <mergeCell ref="H961:I961"/>
    <mergeCell ref="H962:I962"/>
    <mergeCell ref="H963:I963"/>
    <mergeCell ref="H964:I964"/>
    <mergeCell ref="H965:I965"/>
    <mergeCell ref="H966:I966"/>
    <mergeCell ref="H906:I906"/>
    <mergeCell ref="H907:I907"/>
    <mergeCell ref="H908:I908"/>
    <mergeCell ref="H909:I909"/>
    <mergeCell ref="H910:I910"/>
    <mergeCell ref="H911:I911"/>
    <mergeCell ref="H912:I912"/>
    <mergeCell ref="H913:I913"/>
    <mergeCell ref="H914:I914"/>
    <mergeCell ref="H915:I915"/>
    <mergeCell ref="H916:I916"/>
    <mergeCell ref="H917:I917"/>
    <mergeCell ref="H918:I918"/>
    <mergeCell ref="H919:I919"/>
    <mergeCell ref="H920:I920"/>
    <mergeCell ref="H921:I921"/>
    <mergeCell ref="H922:I922"/>
    <mergeCell ref="H889:I889"/>
    <mergeCell ref="H890:I890"/>
    <mergeCell ref="H891:I891"/>
    <mergeCell ref="H892:I892"/>
    <mergeCell ref="H893:I893"/>
    <mergeCell ref="H894:I894"/>
    <mergeCell ref="H895:I895"/>
    <mergeCell ref="H896:I896"/>
    <mergeCell ref="H897:I897"/>
    <mergeCell ref="H898:I898"/>
    <mergeCell ref="H899:I899"/>
    <mergeCell ref="H900:I900"/>
    <mergeCell ref="H901:I901"/>
    <mergeCell ref="H902:I902"/>
    <mergeCell ref="H903:I903"/>
    <mergeCell ref="H904:I904"/>
    <mergeCell ref="H905:I905"/>
    <mergeCell ref="H872:I872"/>
    <mergeCell ref="H873:I873"/>
    <mergeCell ref="H874:I874"/>
    <mergeCell ref="H875:I875"/>
    <mergeCell ref="H876:I876"/>
    <mergeCell ref="H877:I877"/>
    <mergeCell ref="H878:I878"/>
    <mergeCell ref="H879:I879"/>
    <mergeCell ref="H880:I880"/>
    <mergeCell ref="H881:I881"/>
    <mergeCell ref="H882:I882"/>
    <mergeCell ref="H883:I883"/>
    <mergeCell ref="H884:I884"/>
    <mergeCell ref="H885:I885"/>
    <mergeCell ref="H886:I886"/>
    <mergeCell ref="H887:I887"/>
    <mergeCell ref="H888:I888"/>
    <mergeCell ref="H855:I855"/>
    <mergeCell ref="H856:I856"/>
    <mergeCell ref="H857:I857"/>
    <mergeCell ref="H858:I858"/>
    <mergeCell ref="H859:I859"/>
    <mergeCell ref="H860:I860"/>
    <mergeCell ref="H861:I861"/>
    <mergeCell ref="H862:I862"/>
    <mergeCell ref="H863:I863"/>
    <mergeCell ref="H864:I864"/>
    <mergeCell ref="H865:I865"/>
    <mergeCell ref="H866:I866"/>
    <mergeCell ref="H867:I867"/>
    <mergeCell ref="H868:I868"/>
    <mergeCell ref="H869:I869"/>
    <mergeCell ref="H870:I870"/>
    <mergeCell ref="H871:I871"/>
    <mergeCell ref="H838:I838"/>
    <mergeCell ref="H839:I839"/>
    <mergeCell ref="H840:I840"/>
    <mergeCell ref="H841:I841"/>
    <mergeCell ref="H842:I842"/>
    <mergeCell ref="H843:I843"/>
    <mergeCell ref="H844:I844"/>
    <mergeCell ref="H845:I845"/>
    <mergeCell ref="H846:I846"/>
    <mergeCell ref="H847:I847"/>
    <mergeCell ref="H848:I848"/>
    <mergeCell ref="H849:I849"/>
    <mergeCell ref="H850:I850"/>
    <mergeCell ref="H851:I851"/>
    <mergeCell ref="H852:I852"/>
    <mergeCell ref="H853:I853"/>
    <mergeCell ref="H854:I854"/>
    <mergeCell ref="H821:I821"/>
    <mergeCell ref="H822:I822"/>
    <mergeCell ref="H823:I823"/>
    <mergeCell ref="H824:I824"/>
    <mergeCell ref="H825:I825"/>
    <mergeCell ref="H826:I826"/>
    <mergeCell ref="H827:I827"/>
    <mergeCell ref="H828:I828"/>
    <mergeCell ref="H829:I829"/>
    <mergeCell ref="H830:I830"/>
    <mergeCell ref="H831:I831"/>
    <mergeCell ref="H832:I832"/>
    <mergeCell ref="H833:I833"/>
    <mergeCell ref="H834:I834"/>
    <mergeCell ref="H835:I835"/>
    <mergeCell ref="H836:I836"/>
    <mergeCell ref="H837:I837"/>
    <mergeCell ref="H804:I804"/>
    <mergeCell ref="H805:I805"/>
    <mergeCell ref="H806:I806"/>
    <mergeCell ref="H807:I807"/>
    <mergeCell ref="H808:I808"/>
    <mergeCell ref="H809:I809"/>
    <mergeCell ref="H810:I810"/>
    <mergeCell ref="H811:I811"/>
    <mergeCell ref="H812:I812"/>
    <mergeCell ref="H813:I813"/>
    <mergeCell ref="H814:I814"/>
    <mergeCell ref="H815:I815"/>
    <mergeCell ref="H816:I816"/>
    <mergeCell ref="H817:I817"/>
    <mergeCell ref="H818:I818"/>
    <mergeCell ref="H819:I819"/>
    <mergeCell ref="H820:I820"/>
    <mergeCell ref="H787:I787"/>
    <mergeCell ref="H788:I788"/>
    <mergeCell ref="H789:I789"/>
    <mergeCell ref="H790:I790"/>
    <mergeCell ref="H791:I791"/>
    <mergeCell ref="H792:I792"/>
    <mergeCell ref="H793:I793"/>
    <mergeCell ref="H794:I794"/>
    <mergeCell ref="H795:I795"/>
    <mergeCell ref="H796:I796"/>
    <mergeCell ref="H797:I797"/>
    <mergeCell ref="H798:I798"/>
    <mergeCell ref="H799:I799"/>
    <mergeCell ref="H800:I800"/>
    <mergeCell ref="H801:I801"/>
    <mergeCell ref="H802:I802"/>
    <mergeCell ref="H803:I803"/>
    <mergeCell ref="H770:I770"/>
    <mergeCell ref="H771:I771"/>
    <mergeCell ref="H772:I772"/>
    <mergeCell ref="H773:I773"/>
    <mergeCell ref="H774:I774"/>
    <mergeCell ref="H775:I775"/>
    <mergeCell ref="H776:I776"/>
    <mergeCell ref="H777:I777"/>
    <mergeCell ref="H778:I778"/>
    <mergeCell ref="H779:I779"/>
    <mergeCell ref="H780:I780"/>
    <mergeCell ref="H781:I781"/>
    <mergeCell ref="H782:I782"/>
    <mergeCell ref="H783:I783"/>
    <mergeCell ref="H784:I784"/>
    <mergeCell ref="H785:I785"/>
    <mergeCell ref="H786:I786"/>
    <mergeCell ref="H753:I753"/>
    <mergeCell ref="H754:I754"/>
    <mergeCell ref="H755:I755"/>
    <mergeCell ref="H756:I756"/>
    <mergeCell ref="H757:I757"/>
    <mergeCell ref="H758:I758"/>
    <mergeCell ref="H759:I759"/>
    <mergeCell ref="H760:I760"/>
    <mergeCell ref="H761:I761"/>
    <mergeCell ref="H762:I762"/>
    <mergeCell ref="H763:I763"/>
    <mergeCell ref="H764:I764"/>
    <mergeCell ref="H765:I765"/>
    <mergeCell ref="H766:I766"/>
    <mergeCell ref="H767:I767"/>
    <mergeCell ref="H768:I768"/>
    <mergeCell ref="H769:I769"/>
    <mergeCell ref="H736:I736"/>
    <mergeCell ref="H737:I737"/>
    <mergeCell ref="H738:I738"/>
    <mergeCell ref="H739:I739"/>
    <mergeCell ref="H740:I740"/>
    <mergeCell ref="H741:I741"/>
    <mergeCell ref="H742:I742"/>
    <mergeCell ref="H743:I743"/>
    <mergeCell ref="H744:I744"/>
    <mergeCell ref="H745:I745"/>
    <mergeCell ref="H746:I746"/>
    <mergeCell ref="H747:I747"/>
    <mergeCell ref="H748:I748"/>
    <mergeCell ref="H749:I749"/>
    <mergeCell ref="H750:I750"/>
    <mergeCell ref="H751:I751"/>
    <mergeCell ref="H752:I752"/>
    <mergeCell ref="H719:I719"/>
    <mergeCell ref="H720:I720"/>
    <mergeCell ref="H721:I721"/>
    <mergeCell ref="H722:I722"/>
    <mergeCell ref="H723:I723"/>
    <mergeCell ref="H724:I724"/>
    <mergeCell ref="H725:I725"/>
    <mergeCell ref="H726:I726"/>
    <mergeCell ref="H727:I727"/>
    <mergeCell ref="H728:I728"/>
    <mergeCell ref="H729:I729"/>
    <mergeCell ref="H730:I730"/>
    <mergeCell ref="H731:I731"/>
    <mergeCell ref="H732:I732"/>
    <mergeCell ref="H733:I733"/>
    <mergeCell ref="H734:I734"/>
    <mergeCell ref="H735:I735"/>
    <mergeCell ref="H702:I702"/>
    <mergeCell ref="H703:I703"/>
    <mergeCell ref="H704:I704"/>
    <mergeCell ref="H705:I705"/>
    <mergeCell ref="H706:I706"/>
    <mergeCell ref="H707:I707"/>
    <mergeCell ref="H708:I708"/>
    <mergeCell ref="H709:I709"/>
    <mergeCell ref="H710:I710"/>
    <mergeCell ref="H711:I711"/>
    <mergeCell ref="H712:I712"/>
    <mergeCell ref="H713:I713"/>
    <mergeCell ref="H714:I714"/>
    <mergeCell ref="H715:I715"/>
    <mergeCell ref="H716:I716"/>
    <mergeCell ref="H717:I717"/>
    <mergeCell ref="H718:I718"/>
    <mergeCell ref="A543:B543"/>
    <mergeCell ref="A544:B544"/>
    <mergeCell ref="H687:I687"/>
    <mergeCell ref="H688:I688"/>
    <mergeCell ref="H689:I689"/>
    <mergeCell ref="H690:I690"/>
    <mergeCell ref="H691:I691"/>
    <mergeCell ref="H692:I692"/>
    <mergeCell ref="H693:I693"/>
    <mergeCell ref="H694:I694"/>
    <mergeCell ref="H695:I695"/>
    <mergeCell ref="H696:I696"/>
    <mergeCell ref="H697:I697"/>
    <mergeCell ref="H698:I698"/>
    <mergeCell ref="H699:I699"/>
    <mergeCell ref="H700:I700"/>
    <mergeCell ref="H701:I701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A201:B201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H187:I187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H137:I137"/>
    <mergeCell ref="H138:I138"/>
    <mergeCell ref="H130:I130"/>
    <mergeCell ref="H131:I131"/>
    <mergeCell ref="H132:I132"/>
    <mergeCell ref="H133:I133"/>
    <mergeCell ref="H134:I134"/>
    <mergeCell ref="H135:I135"/>
    <mergeCell ref="H136:I136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25"/>
  <sheetViews>
    <sheetView workbookViewId="0">
      <selection activeCell="N21" sqref="A1:XFD1048576"/>
    </sheetView>
  </sheetViews>
  <sheetFormatPr baseColWidth="10" defaultColWidth="12.6640625" defaultRowHeight="15.75" customHeight="1"/>
  <cols>
    <col min="6" max="6" width="13.5" customWidth="1"/>
    <col min="11" max="11" width="13.33203125" customWidth="1"/>
  </cols>
  <sheetData>
    <row r="1" spans="1:14" ht="13">
      <c r="A1" s="39" t="s">
        <v>229</v>
      </c>
    </row>
    <row r="3" spans="1:14" ht="15.75" customHeight="1">
      <c r="A3" s="2" t="s">
        <v>4</v>
      </c>
      <c r="B3" s="1" t="s">
        <v>230</v>
      </c>
      <c r="J3" s="2" t="s">
        <v>231</v>
      </c>
      <c r="L3" s="1" t="s">
        <v>2</v>
      </c>
      <c r="M3" s="1" t="s">
        <v>3</v>
      </c>
      <c r="N3" s="1" t="s">
        <v>232</v>
      </c>
    </row>
    <row r="4" spans="1:14" ht="15.75" customHeight="1">
      <c r="A4" s="2" t="s">
        <v>7</v>
      </c>
      <c r="B4" s="1" t="s">
        <v>233</v>
      </c>
      <c r="J4" s="1" t="s">
        <v>234</v>
      </c>
      <c r="L4" s="4">
        <f>SUMIF($A$18:$A$25,J4,$G$18:$G$25)</f>
        <v>95095000</v>
      </c>
      <c r="M4" s="6"/>
      <c r="N4" s="25"/>
    </row>
    <row r="5" spans="1:14" ht="15.75" customHeight="1">
      <c r="A5" s="2" t="s">
        <v>137</v>
      </c>
      <c r="B5" s="1" t="s">
        <v>235</v>
      </c>
      <c r="J5" s="1" t="s">
        <v>236</v>
      </c>
      <c r="L5" s="4"/>
      <c r="M5" s="6"/>
      <c r="N5" s="25">
        <f>SUMIF($A$18:$A$25,J5,I$18:I$25)</f>
        <v>906.12</v>
      </c>
    </row>
    <row r="6" spans="1:14" ht="15.75" customHeight="1">
      <c r="J6" s="2" t="s">
        <v>145</v>
      </c>
      <c r="N6" s="25"/>
    </row>
    <row r="7" spans="1:14" ht="15.75" customHeight="1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J7" s="1" t="s">
        <v>140</v>
      </c>
      <c r="L7" s="4">
        <f t="shared" ref="L7:L8" si="0">SUMIF($A$18:$A$25,J7,$G$18:$G$25)</f>
        <v>9865350</v>
      </c>
      <c r="M7" s="6"/>
      <c r="N7" s="25"/>
    </row>
    <row r="8" spans="1:14" ht="15.75" customHeight="1">
      <c r="A8" s="9" t="s">
        <v>237</v>
      </c>
      <c r="B8" s="8">
        <v>0.10833333333333334</v>
      </c>
      <c r="C8" s="5" t="s">
        <v>215</v>
      </c>
      <c r="D8" s="5" t="s">
        <v>238</v>
      </c>
      <c r="E8" s="5" t="s">
        <v>19</v>
      </c>
      <c r="J8" s="1" t="s">
        <v>195</v>
      </c>
      <c r="L8" s="4">
        <f t="shared" si="0"/>
        <v>113276610</v>
      </c>
      <c r="M8" s="6"/>
      <c r="N8" s="25"/>
    </row>
    <row r="9" spans="1:14" ht="15.75" customHeight="1">
      <c r="A9" s="9" t="s">
        <v>239</v>
      </c>
      <c r="B9" s="8">
        <v>4.1666666666666666E-3</v>
      </c>
      <c r="C9" s="5" t="s">
        <v>22</v>
      </c>
      <c r="D9" s="5" t="s">
        <v>238</v>
      </c>
      <c r="E9" s="5" t="s">
        <v>19</v>
      </c>
      <c r="J9" s="2" t="s">
        <v>153</v>
      </c>
      <c r="N9" s="25"/>
    </row>
    <row r="10" spans="1:14" ht="15.75" customHeight="1">
      <c r="A10" s="9" t="s">
        <v>240</v>
      </c>
      <c r="B10" s="8">
        <v>0.29166666666666669</v>
      </c>
      <c r="C10" s="5" t="s">
        <v>17</v>
      </c>
      <c r="D10" s="5" t="s">
        <v>29</v>
      </c>
      <c r="E10" s="5" t="s">
        <v>24</v>
      </c>
      <c r="J10" s="1" t="s">
        <v>27</v>
      </c>
      <c r="L10" s="4">
        <f>SUMIF($A$18:$A$25,J10,G$18:G$25)</f>
        <v>0</v>
      </c>
      <c r="M10" s="6">
        <f>SUMIF($A$18:$A$25,J10,H$18:H$25)</f>
        <v>37250</v>
      </c>
      <c r="N10" s="25">
        <f>SUMIF($A$18:$A$25,J10,I$18:I$25)</f>
        <v>0</v>
      </c>
    </row>
    <row r="11" spans="1:14" ht="15.75" customHeight="1">
      <c r="A11" s="9" t="s">
        <v>241</v>
      </c>
      <c r="B11" s="8">
        <v>0.5083333333333333</v>
      </c>
      <c r="C11" s="5" t="s">
        <v>22</v>
      </c>
      <c r="D11" s="5" t="s">
        <v>29</v>
      </c>
      <c r="E11" s="5" t="s">
        <v>24</v>
      </c>
    </row>
    <row r="12" spans="1:14" ht="15.75" customHeight="1">
      <c r="A12" s="9" t="s">
        <v>242</v>
      </c>
      <c r="B12" s="8">
        <v>0.29166666666666669</v>
      </c>
      <c r="C12" s="5" t="s">
        <v>17</v>
      </c>
      <c r="D12" s="5" t="s">
        <v>33</v>
      </c>
      <c r="E12" s="5" t="s">
        <v>34</v>
      </c>
    </row>
    <row r="13" spans="1:14" ht="15.75" customHeight="1">
      <c r="A13" s="9" t="s">
        <v>243</v>
      </c>
      <c r="B13" s="8">
        <v>0.72499999999999998</v>
      </c>
      <c r="C13" s="5" t="s">
        <v>215</v>
      </c>
      <c r="D13" s="5" t="s">
        <v>244</v>
      </c>
      <c r="E13" s="5" t="s">
        <v>19</v>
      </c>
    </row>
    <row r="15" spans="1:14" ht="15.75" customHeight="1">
      <c r="A15" s="2" t="s">
        <v>42</v>
      </c>
    </row>
    <row r="17" spans="1:10" ht="15.75" customHeight="1">
      <c r="A17" s="10" t="s">
        <v>44</v>
      </c>
      <c r="B17" s="10" t="s">
        <v>45</v>
      </c>
      <c r="C17" s="10" t="s">
        <v>46</v>
      </c>
      <c r="D17" s="10" t="s">
        <v>47</v>
      </c>
      <c r="E17" s="10" t="s">
        <v>48</v>
      </c>
      <c r="F17" s="10" t="s">
        <v>49</v>
      </c>
      <c r="G17" s="10" t="s">
        <v>50</v>
      </c>
      <c r="H17" s="10" t="s">
        <v>51</v>
      </c>
      <c r="I17" s="10" t="s">
        <v>245</v>
      </c>
      <c r="J17" s="10"/>
    </row>
    <row r="18" spans="1:10" ht="15.75" customHeight="1">
      <c r="A18" s="37" t="s">
        <v>231</v>
      </c>
      <c r="B18" s="33"/>
      <c r="C18" s="33"/>
      <c r="D18" s="33"/>
      <c r="E18" s="33"/>
      <c r="F18" s="33"/>
      <c r="G18" s="33"/>
      <c r="H18" s="33"/>
      <c r="I18" s="33"/>
    </row>
    <row r="19" spans="1:10" ht="15.75" customHeight="1">
      <c r="A19" s="11" t="s">
        <v>234</v>
      </c>
      <c r="B19" s="11">
        <v>68</v>
      </c>
      <c r="C19" s="10" t="s">
        <v>202</v>
      </c>
      <c r="D19" s="17">
        <v>46360</v>
      </c>
      <c r="E19" s="10" t="s">
        <v>246</v>
      </c>
      <c r="F19" s="11" t="s">
        <v>247</v>
      </c>
      <c r="G19" s="13">
        <v>95095000</v>
      </c>
      <c r="H19" s="10"/>
      <c r="I19" s="10"/>
    </row>
    <row r="20" spans="1:10" ht="15.75" customHeight="1">
      <c r="A20" s="11" t="s">
        <v>236</v>
      </c>
      <c r="B20" s="11">
        <v>69</v>
      </c>
      <c r="C20" s="10" t="s">
        <v>248</v>
      </c>
      <c r="D20" s="17">
        <v>46360</v>
      </c>
      <c r="E20" s="10" t="s">
        <v>249</v>
      </c>
      <c r="F20" s="11" t="s">
        <v>247</v>
      </c>
      <c r="H20" s="10"/>
      <c r="I20" s="26">
        <v>906.12</v>
      </c>
    </row>
    <row r="21" spans="1:10" ht="15.75" customHeight="1">
      <c r="A21" s="37" t="s">
        <v>145</v>
      </c>
      <c r="B21" s="33"/>
      <c r="C21" s="33"/>
      <c r="D21" s="33"/>
      <c r="E21" s="33"/>
      <c r="F21" s="33"/>
      <c r="G21" s="33"/>
      <c r="H21" s="33"/>
      <c r="I21" s="33"/>
    </row>
    <row r="22" spans="1:10" ht="15.75" customHeight="1">
      <c r="A22" s="11" t="s">
        <v>140</v>
      </c>
      <c r="B22" s="27" t="s">
        <v>250</v>
      </c>
      <c r="C22" s="10" t="s">
        <v>202</v>
      </c>
      <c r="D22" s="17">
        <v>46365</v>
      </c>
      <c r="E22" s="10" t="s">
        <v>251</v>
      </c>
      <c r="F22" s="11" t="s">
        <v>73</v>
      </c>
      <c r="G22" s="13">
        <v>9865350</v>
      </c>
      <c r="H22" s="10"/>
      <c r="I22" s="10"/>
    </row>
    <row r="23" spans="1:10" ht="15.75" customHeight="1">
      <c r="A23" s="11" t="s">
        <v>195</v>
      </c>
      <c r="B23" s="27" t="s">
        <v>252</v>
      </c>
      <c r="C23" s="10" t="s">
        <v>253</v>
      </c>
      <c r="D23" s="12">
        <v>46367</v>
      </c>
      <c r="E23" s="10" t="s">
        <v>254</v>
      </c>
      <c r="F23" s="11" t="s">
        <v>208</v>
      </c>
      <c r="G23" s="13">
        <v>113276610</v>
      </c>
      <c r="H23" s="10"/>
      <c r="I23" s="10"/>
    </row>
    <row r="24" spans="1:10" ht="15.75" customHeight="1">
      <c r="A24" s="11" t="s">
        <v>153</v>
      </c>
      <c r="B24" s="28"/>
      <c r="C24" s="10"/>
      <c r="D24" s="10"/>
      <c r="E24" s="10"/>
      <c r="F24" s="10"/>
      <c r="G24" s="10"/>
      <c r="H24" s="10"/>
      <c r="I24" s="10"/>
    </row>
    <row r="25" spans="1:10" ht="15.75" customHeight="1">
      <c r="A25" s="11" t="s">
        <v>27</v>
      </c>
      <c r="B25" s="27">
        <v>71</v>
      </c>
      <c r="C25" s="10" t="s">
        <v>101</v>
      </c>
      <c r="D25" s="12">
        <v>46370</v>
      </c>
      <c r="E25" s="10" t="s">
        <v>255</v>
      </c>
      <c r="F25" s="11" t="s">
        <v>54</v>
      </c>
      <c r="H25" s="15">
        <v>37250</v>
      </c>
      <c r="I25" s="10"/>
    </row>
  </sheetData>
  <mergeCells count="2">
    <mergeCell ref="A18:I18"/>
    <mergeCell ref="A21:I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selection activeCell="N21" sqref="A1:XFD1048576"/>
    </sheetView>
  </sheetViews>
  <sheetFormatPr baseColWidth="10" defaultColWidth="12.6640625" defaultRowHeight="15.75" customHeight="1"/>
  <sheetData>
    <row r="1" spans="1:8" ht="13">
      <c r="A1" s="39" t="s">
        <v>256</v>
      </c>
    </row>
    <row r="3" spans="1:8" ht="15.75" customHeight="1">
      <c r="A3" s="2" t="s">
        <v>4</v>
      </c>
      <c r="B3" s="1" t="s">
        <v>257</v>
      </c>
    </row>
    <row r="4" spans="1:8" ht="15.75" customHeight="1">
      <c r="A4" s="2" t="s">
        <v>7</v>
      </c>
      <c r="B4" s="1" t="s">
        <v>258</v>
      </c>
    </row>
    <row r="6" spans="1:8" ht="15.75" customHeight="1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</row>
    <row r="7" spans="1:8" ht="15.75" customHeight="1">
      <c r="A7" s="9" t="s">
        <v>243</v>
      </c>
      <c r="B7" s="8">
        <v>0.72499999999999998</v>
      </c>
      <c r="C7" s="5" t="s">
        <v>215</v>
      </c>
      <c r="D7" s="5" t="s">
        <v>244</v>
      </c>
      <c r="E7" s="5" t="s">
        <v>19</v>
      </c>
    </row>
    <row r="8" spans="1:8" ht="15.75" customHeight="1">
      <c r="A8" s="9" t="s">
        <v>259</v>
      </c>
      <c r="B8" s="8">
        <v>0.30416666666666664</v>
      </c>
      <c r="C8" s="5" t="s">
        <v>22</v>
      </c>
      <c r="D8" s="5" t="s">
        <v>33</v>
      </c>
      <c r="E8" s="5" t="s">
        <v>19</v>
      </c>
    </row>
    <row r="9" spans="1:8" ht="15.75" customHeight="1">
      <c r="A9" s="9" t="s">
        <v>260</v>
      </c>
      <c r="B9" s="8">
        <v>0.29166666666666669</v>
      </c>
      <c r="C9" s="5" t="s">
        <v>17</v>
      </c>
      <c r="D9" s="5" t="s">
        <v>261</v>
      </c>
      <c r="E9" s="5" t="s">
        <v>24</v>
      </c>
    </row>
    <row r="10" spans="1:8" ht="15.75" customHeight="1">
      <c r="A10" s="9" t="s">
        <v>262</v>
      </c>
      <c r="B10" s="8">
        <v>0.375</v>
      </c>
      <c r="C10" s="5" t="s">
        <v>22</v>
      </c>
      <c r="D10" s="5" t="s">
        <v>261</v>
      </c>
      <c r="E10" s="5" t="s">
        <v>24</v>
      </c>
    </row>
    <row r="11" spans="1:8" ht="15.75" customHeight="1">
      <c r="A11" s="9" t="s">
        <v>263</v>
      </c>
      <c r="B11" s="8">
        <v>0.97916666666666663</v>
      </c>
      <c r="C11" s="5" t="s">
        <v>17</v>
      </c>
      <c r="D11" s="5" t="s">
        <v>33</v>
      </c>
      <c r="E11" s="5" t="s">
        <v>34</v>
      </c>
    </row>
    <row r="12" spans="1:8" ht="15.75" customHeight="1">
      <c r="A12" s="24">
        <v>46026</v>
      </c>
      <c r="B12" s="8">
        <v>0.2</v>
      </c>
      <c r="C12" s="5" t="s">
        <v>215</v>
      </c>
      <c r="D12" s="5" t="s">
        <v>244</v>
      </c>
      <c r="E12" s="5" t="s">
        <v>19</v>
      </c>
    </row>
    <row r="14" spans="1:8" ht="15.75" customHeight="1">
      <c r="A14" s="2" t="s">
        <v>42</v>
      </c>
    </row>
    <row r="16" spans="1:8" ht="15.75" customHeight="1">
      <c r="A16" s="10" t="s">
        <v>44</v>
      </c>
      <c r="B16" s="10" t="s">
        <v>45</v>
      </c>
      <c r="C16" s="10" t="s">
        <v>46</v>
      </c>
      <c r="D16" s="10" t="s">
        <v>47</v>
      </c>
      <c r="E16" s="10" t="s">
        <v>48</v>
      </c>
      <c r="F16" s="10" t="s">
        <v>49</v>
      </c>
      <c r="G16" s="10" t="s">
        <v>264</v>
      </c>
      <c r="H16" s="10" t="s">
        <v>265</v>
      </c>
    </row>
    <row r="17" spans="1:8" ht="15.75" customHeight="1">
      <c r="A17" s="11" t="s">
        <v>266</v>
      </c>
      <c r="B17" s="10"/>
      <c r="C17" s="10"/>
      <c r="D17" s="10"/>
      <c r="E17" s="10"/>
      <c r="F17" s="10"/>
      <c r="G17" s="10"/>
      <c r="H17" s="10"/>
    </row>
    <row r="18" spans="1:8" ht="15.75" customHeight="1">
      <c r="A18" s="11" t="s">
        <v>27</v>
      </c>
      <c r="B18" s="11" t="s">
        <v>267</v>
      </c>
      <c r="C18" s="10" t="s">
        <v>101</v>
      </c>
      <c r="D18" s="12">
        <v>46370</v>
      </c>
      <c r="E18" s="10" t="s">
        <v>268</v>
      </c>
      <c r="F18" s="11" t="s">
        <v>54</v>
      </c>
      <c r="G18" s="16">
        <v>37250</v>
      </c>
      <c r="H18" s="10" t="s">
        <v>269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E1000"/>
  <sheetViews>
    <sheetView workbookViewId="0"/>
  </sheetViews>
  <sheetFormatPr baseColWidth="10" defaultColWidth="12.6640625" defaultRowHeight="15.75" customHeight="1"/>
  <cols>
    <col min="1" max="1" width="7.6640625" customWidth="1"/>
    <col min="2" max="2" width="9.1640625" customWidth="1"/>
    <col min="3" max="3" width="7.6640625" customWidth="1"/>
    <col min="4" max="4" width="25.33203125" customWidth="1"/>
    <col min="5" max="5" width="9.1640625" customWidth="1"/>
    <col min="6" max="26" width="7.6640625" customWidth="1"/>
  </cols>
  <sheetData>
    <row r="1" spans="2:5" ht="14.25" customHeight="1"/>
    <row r="2" spans="2:5" ht="14.25" customHeight="1">
      <c r="B2" s="29" t="s">
        <v>11</v>
      </c>
      <c r="C2" s="29" t="s">
        <v>12</v>
      </c>
      <c r="D2" s="29" t="s">
        <v>270</v>
      </c>
      <c r="E2" s="29" t="s">
        <v>15</v>
      </c>
    </row>
    <row r="3" spans="2:5" ht="14.25" customHeight="1">
      <c r="B3" s="30">
        <v>45863</v>
      </c>
      <c r="C3" s="31">
        <v>0.10833333333333334</v>
      </c>
      <c r="D3" s="29" t="s">
        <v>271</v>
      </c>
      <c r="E3" s="29" t="s">
        <v>19</v>
      </c>
    </row>
    <row r="4" spans="2:5" ht="14.25" customHeight="1">
      <c r="B4" s="30">
        <v>45881</v>
      </c>
      <c r="C4" s="31">
        <v>0.39583333333333331</v>
      </c>
      <c r="D4" s="29" t="s">
        <v>272</v>
      </c>
      <c r="E4" s="29" t="s">
        <v>19</v>
      </c>
    </row>
    <row r="5" spans="2:5" ht="14.25" customHeight="1">
      <c r="B5" s="30">
        <v>45881</v>
      </c>
      <c r="C5" s="31">
        <v>0.41666666666666669</v>
      </c>
      <c r="D5" s="29" t="s">
        <v>273</v>
      </c>
      <c r="E5" s="29" t="s">
        <v>24</v>
      </c>
    </row>
    <row r="6" spans="2:5" ht="14.25" customHeight="1">
      <c r="B6" s="30">
        <v>45884</v>
      </c>
      <c r="C6" s="31">
        <v>0.25</v>
      </c>
      <c r="D6" s="29" t="s">
        <v>274</v>
      </c>
      <c r="E6" s="29" t="s">
        <v>24</v>
      </c>
    </row>
    <row r="7" spans="2:5" ht="14.25" customHeight="1">
      <c r="B7" s="30">
        <v>45886</v>
      </c>
      <c r="C7" s="31">
        <v>0.77916666666666667</v>
      </c>
      <c r="D7" s="29" t="s">
        <v>275</v>
      </c>
      <c r="E7" s="29" t="s">
        <v>24</v>
      </c>
    </row>
    <row r="8" spans="2:5" ht="14.25" customHeight="1">
      <c r="B8" s="30">
        <v>45889</v>
      </c>
      <c r="C8" s="31">
        <v>0.79166666666666663</v>
      </c>
      <c r="D8" s="29" t="s">
        <v>276</v>
      </c>
      <c r="E8" s="29" t="s">
        <v>24</v>
      </c>
    </row>
    <row r="9" spans="2:5" ht="14.25" customHeight="1">
      <c r="B9" s="30">
        <v>45891</v>
      </c>
      <c r="C9" s="31">
        <v>0.91666666666666663</v>
      </c>
      <c r="D9" s="29" t="s">
        <v>277</v>
      </c>
      <c r="E9" s="29" t="s">
        <v>34</v>
      </c>
    </row>
    <row r="10" spans="2:5" ht="14.25" customHeight="1">
      <c r="B10" s="30">
        <v>45895</v>
      </c>
      <c r="C10" s="31">
        <v>8.3333333333333329E-2</v>
      </c>
      <c r="D10" s="29" t="s">
        <v>278</v>
      </c>
      <c r="E10" s="29" t="s">
        <v>38</v>
      </c>
    </row>
    <row r="11" spans="2:5" ht="14.25" customHeight="1">
      <c r="B11" s="30">
        <v>45905</v>
      </c>
      <c r="C11" s="31">
        <v>0.4375</v>
      </c>
      <c r="D11" s="29" t="s">
        <v>279</v>
      </c>
      <c r="E11" s="29" t="s">
        <v>38</v>
      </c>
    </row>
    <row r="12" spans="2:5" ht="14.25" customHeight="1">
      <c r="B12" s="30">
        <v>45905</v>
      </c>
      <c r="C12" s="31">
        <v>0.70833333333333337</v>
      </c>
      <c r="D12" s="29" t="s">
        <v>280</v>
      </c>
      <c r="E12" s="29" t="s">
        <v>19</v>
      </c>
    </row>
    <row r="13" spans="2:5" ht="14.25" customHeight="1">
      <c r="B13" s="30">
        <v>45907</v>
      </c>
      <c r="C13" s="31">
        <v>0.48749999999999999</v>
      </c>
      <c r="D13" s="29" t="s">
        <v>281</v>
      </c>
      <c r="E13" s="29" t="s">
        <v>19</v>
      </c>
    </row>
    <row r="14" spans="2:5" ht="14.25" customHeight="1">
      <c r="B14" s="30">
        <v>45907</v>
      </c>
      <c r="C14" s="31">
        <v>0.59583333333333333</v>
      </c>
      <c r="D14" s="29" t="s">
        <v>273</v>
      </c>
      <c r="E14" s="29" t="s">
        <v>24</v>
      </c>
    </row>
    <row r="15" spans="2:5" ht="14.25" customHeight="1">
      <c r="B15" s="30">
        <v>45913</v>
      </c>
      <c r="C15" s="31">
        <v>0.47916666666666669</v>
      </c>
      <c r="D15" s="29" t="s">
        <v>274</v>
      </c>
      <c r="E15" s="29" t="s">
        <v>24</v>
      </c>
    </row>
    <row r="16" spans="2:5" ht="14.25" customHeight="1">
      <c r="B16" s="30">
        <v>45916</v>
      </c>
      <c r="C16" s="31">
        <v>0.14166666666666666</v>
      </c>
      <c r="D16" s="29" t="s">
        <v>275</v>
      </c>
      <c r="E16" s="29" t="s">
        <v>24</v>
      </c>
    </row>
    <row r="17" spans="2:5" ht="14.25" customHeight="1">
      <c r="B17" s="30">
        <v>45924</v>
      </c>
      <c r="C17" s="31">
        <v>0.79583333333333328</v>
      </c>
      <c r="D17" s="29" t="s">
        <v>276</v>
      </c>
      <c r="E17" s="29" t="s">
        <v>24</v>
      </c>
    </row>
    <row r="18" spans="2:5" ht="14.25" customHeight="1">
      <c r="B18" s="30">
        <v>45927</v>
      </c>
      <c r="C18" s="31">
        <v>0.18333333333333332</v>
      </c>
      <c r="D18" s="29" t="s">
        <v>277</v>
      </c>
      <c r="E18" s="29" t="s">
        <v>34</v>
      </c>
    </row>
    <row r="19" spans="2:5" ht="14.25" customHeight="1">
      <c r="B19" s="30">
        <v>45930</v>
      </c>
      <c r="C19" s="31">
        <v>6.25E-2</v>
      </c>
      <c r="D19" s="29" t="s">
        <v>282</v>
      </c>
      <c r="E19" s="29" t="s">
        <v>34</v>
      </c>
    </row>
    <row r="20" spans="2:5" ht="14.25" customHeight="1">
      <c r="B20" s="30">
        <v>45930</v>
      </c>
      <c r="C20" s="31">
        <v>0.32083333333333336</v>
      </c>
      <c r="D20" s="29" t="s">
        <v>283</v>
      </c>
      <c r="E20" s="29" t="s">
        <v>38</v>
      </c>
    </row>
    <row r="21" spans="2:5" ht="14.25" customHeight="1">
      <c r="B21" s="30">
        <v>45940</v>
      </c>
      <c r="C21" s="31">
        <v>0.7583333333333333</v>
      </c>
      <c r="D21" s="29" t="s">
        <v>280</v>
      </c>
      <c r="E21" s="29" t="s">
        <v>19</v>
      </c>
    </row>
    <row r="22" spans="2:5" ht="14.25" customHeight="1">
      <c r="B22" s="30">
        <v>45942</v>
      </c>
      <c r="C22" s="31">
        <v>0.41666666666666669</v>
      </c>
      <c r="D22" s="29" t="s">
        <v>281</v>
      </c>
      <c r="E22" s="29" t="s">
        <v>19</v>
      </c>
    </row>
    <row r="23" spans="2:5" ht="14.25" customHeight="1">
      <c r="B23" s="30">
        <v>45948</v>
      </c>
      <c r="C23" s="31">
        <v>0.6875</v>
      </c>
      <c r="D23" s="29" t="s">
        <v>284</v>
      </c>
      <c r="E23" s="29" t="s">
        <v>24</v>
      </c>
    </row>
    <row r="24" spans="2:5" ht="14.25" customHeight="1">
      <c r="B24" s="30">
        <v>45952</v>
      </c>
      <c r="C24" s="31">
        <v>0.89583333333333337</v>
      </c>
      <c r="D24" s="29" t="s">
        <v>285</v>
      </c>
      <c r="E24" s="29" t="s">
        <v>24</v>
      </c>
    </row>
    <row r="25" spans="2:5" ht="14.25" customHeight="1">
      <c r="B25" s="30">
        <v>45958</v>
      </c>
      <c r="C25" s="31">
        <v>0.3125</v>
      </c>
      <c r="D25" s="29" t="s">
        <v>277</v>
      </c>
      <c r="E25" s="29" t="s">
        <v>34</v>
      </c>
    </row>
    <row r="26" spans="2:5" ht="14.25" customHeight="1">
      <c r="B26" s="30">
        <v>45960</v>
      </c>
      <c r="C26" s="31">
        <v>0.75</v>
      </c>
      <c r="D26" s="29" t="s">
        <v>286</v>
      </c>
      <c r="E26" s="29" t="s">
        <v>19</v>
      </c>
    </row>
    <row r="27" spans="2:5" ht="14.25" customHeight="1">
      <c r="B27" s="30">
        <v>45963</v>
      </c>
      <c r="C27" s="31">
        <v>0.38333333333333336</v>
      </c>
      <c r="D27" s="29" t="s">
        <v>272</v>
      </c>
      <c r="E27" s="29" t="s">
        <v>19</v>
      </c>
    </row>
    <row r="28" spans="2:5" ht="14.25" customHeight="1">
      <c r="B28" s="30">
        <v>45968</v>
      </c>
      <c r="C28" s="31">
        <v>0.90833333333333333</v>
      </c>
      <c r="D28" s="29" t="s">
        <v>287</v>
      </c>
      <c r="E28" s="29" t="s">
        <v>24</v>
      </c>
    </row>
    <row r="29" spans="2:5" ht="14.25" customHeight="1">
      <c r="B29" s="30">
        <v>45970</v>
      </c>
      <c r="C29" s="31">
        <v>0.41666666666666669</v>
      </c>
      <c r="D29" s="29" t="s">
        <v>285</v>
      </c>
      <c r="E29" s="29" t="s">
        <v>24</v>
      </c>
    </row>
    <row r="30" spans="2:5" ht="14.25" customHeight="1">
      <c r="B30" s="30">
        <v>45973</v>
      </c>
      <c r="C30" s="31">
        <v>4.1666666666666664E-2</v>
      </c>
      <c r="D30" s="29" t="s">
        <v>288</v>
      </c>
      <c r="E30" s="29" t="s">
        <v>24</v>
      </c>
    </row>
    <row r="31" spans="2:5" ht="14.25" customHeight="1">
      <c r="B31" s="30">
        <v>45976</v>
      </c>
      <c r="C31" s="31">
        <v>0.2</v>
      </c>
      <c r="D31" s="29" t="s">
        <v>289</v>
      </c>
      <c r="E31" s="29" t="s">
        <v>24</v>
      </c>
    </row>
    <row r="32" spans="2:5" ht="14.25" customHeight="1">
      <c r="B32" s="30">
        <v>45979</v>
      </c>
      <c r="C32" s="31">
        <v>0.48333333333333334</v>
      </c>
      <c r="D32" s="29" t="s">
        <v>271</v>
      </c>
      <c r="E32" s="29" t="s">
        <v>38</v>
      </c>
    </row>
    <row r="33" spans="2:5" ht="14.25" customHeight="1">
      <c r="B33" s="30">
        <v>45993</v>
      </c>
      <c r="C33" s="31">
        <v>0.10833333333333334</v>
      </c>
      <c r="D33" s="29" t="s">
        <v>290</v>
      </c>
      <c r="E33" s="29" t="s">
        <v>19</v>
      </c>
    </row>
    <row r="34" spans="2:5" ht="14.25" customHeight="1">
      <c r="B34" s="30">
        <v>45996</v>
      </c>
      <c r="C34" s="31">
        <v>4.1666666666666666E-3</v>
      </c>
      <c r="D34" s="29" t="s">
        <v>291</v>
      </c>
      <c r="E34" s="29" t="s">
        <v>19</v>
      </c>
    </row>
    <row r="35" spans="2:5" ht="14.25" customHeight="1">
      <c r="B35" s="30">
        <v>45998</v>
      </c>
      <c r="C35" s="31">
        <v>0.29166666666666669</v>
      </c>
      <c r="D35" s="29" t="s">
        <v>275</v>
      </c>
      <c r="E35" s="29" t="s">
        <v>24</v>
      </c>
    </row>
    <row r="36" spans="2:5" ht="14.25" customHeight="1">
      <c r="B36" s="30">
        <v>46002</v>
      </c>
      <c r="C36" s="31">
        <v>0.5083333333333333</v>
      </c>
      <c r="D36" s="29" t="s">
        <v>276</v>
      </c>
      <c r="E36" s="29" t="s">
        <v>24</v>
      </c>
    </row>
    <row r="37" spans="2:5" ht="14.25" customHeight="1">
      <c r="B37" s="30">
        <v>46005</v>
      </c>
      <c r="C37" s="31">
        <v>0.29166666666666669</v>
      </c>
      <c r="D37" s="29" t="s">
        <v>277</v>
      </c>
      <c r="E37" s="29" t="s">
        <v>34</v>
      </c>
    </row>
    <row r="38" spans="2:5" ht="14.25" customHeight="1">
      <c r="B38" s="30">
        <v>46006</v>
      </c>
      <c r="C38" s="31">
        <v>0.72499999999999998</v>
      </c>
      <c r="D38" s="29" t="s">
        <v>292</v>
      </c>
      <c r="E38" s="29" t="s">
        <v>19</v>
      </c>
    </row>
    <row r="39" spans="2:5" ht="14.25" customHeight="1">
      <c r="B39" s="30">
        <v>46009</v>
      </c>
      <c r="C39" s="31">
        <v>0.30416666666666664</v>
      </c>
      <c r="D39" s="29" t="s">
        <v>282</v>
      </c>
      <c r="E39" s="29" t="s">
        <v>19</v>
      </c>
    </row>
    <row r="40" spans="2:5" ht="14.25" customHeight="1">
      <c r="B40" s="30">
        <v>46013</v>
      </c>
      <c r="C40" s="31">
        <v>0.29166666666666669</v>
      </c>
      <c r="D40" s="29" t="s">
        <v>293</v>
      </c>
      <c r="E40" s="29" t="s">
        <v>24</v>
      </c>
    </row>
    <row r="41" spans="2:5" ht="14.25" customHeight="1">
      <c r="B41" s="30">
        <v>46018</v>
      </c>
      <c r="C41" s="31">
        <v>0.375</v>
      </c>
      <c r="D41" s="29" t="s">
        <v>294</v>
      </c>
      <c r="E41" s="29" t="s">
        <v>24</v>
      </c>
    </row>
    <row r="42" spans="2:5" ht="14.25" customHeight="1">
      <c r="B42" s="30">
        <v>46022</v>
      </c>
      <c r="C42" s="31">
        <v>0.97916666666666663</v>
      </c>
      <c r="D42" s="29" t="s">
        <v>277</v>
      </c>
      <c r="E42" s="29" t="s">
        <v>34</v>
      </c>
    </row>
    <row r="43" spans="2:5" ht="14.25" customHeight="1">
      <c r="B43" s="30">
        <v>46026</v>
      </c>
      <c r="C43" s="31">
        <v>0.2</v>
      </c>
      <c r="D43" s="29" t="s">
        <v>292</v>
      </c>
      <c r="E43" s="29" t="s">
        <v>19</v>
      </c>
    </row>
    <row r="44" spans="2:5" ht="14.25" customHeight="1"/>
    <row r="45" spans="2:5" ht="14.25" customHeight="1"/>
    <row r="46" spans="2:5" ht="14.25" customHeight="1"/>
    <row r="47" spans="2:5" ht="14.25" customHeight="1"/>
    <row r="48" spans="2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Voyage 1 Pengerang -&gt; Uban -&gt; T</vt:lpstr>
      <vt:lpstr>Voyage 2 Singapore -&gt; Uban -&gt; T</vt:lpstr>
      <vt:lpstr>Voyage 3 Vopak Singapore -&gt; Bau</vt:lpstr>
      <vt:lpstr>Voyage 4 Pengerang -&gt; Baubau -&gt;</vt:lpstr>
      <vt:lpstr>Ringkasan Per Voyage</vt:lpstr>
      <vt:lpstr>Voyage 5 Tg. Langsat -&gt; Tg. Pri</vt:lpstr>
      <vt:lpstr>Voyage 6 Singapore -&gt; Kotabaru</vt:lpstr>
      <vt:lpstr>Sheet1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Kenrick Owen</cp:lastModifiedBy>
  <dcterms:modified xsi:type="dcterms:W3CDTF">2026-01-09T04:07:30Z</dcterms:modified>
</cp:coreProperties>
</file>